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Questions" sheetId="2" state="visible" r:id="rId4"/>
    <sheet name="Entities" sheetId="3" state="visible" r:id="rId5"/>
    <sheet name="Effects" sheetId="4" state="visible" r:id="rId6"/>
    <sheet name="Progressions" sheetId="5" state="visible" r:id="rId7"/>
    <sheet name="Relations" sheetId="6" state="visible" r:id="rId8"/>
    <sheet name="Danalieth abilities" sheetId="7" state="visible" r:id="rId9"/>
    <sheet name="Danalieth checks" sheetId="8" state="visible" r:id="rId10"/>
  </sheets>
  <definedNames>
    <definedName function="false" hidden="true" localSheetId="3" name="_xlnm._FilterDatabase" vbProcedure="false">Effects!$A$1:$K$64</definedName>
    <definedName function="false" hidden="true" localSheetId="2" name="_xlnm._FilterDatabase" vbProcedure="false">Entities!$A$1:$M$67</definedName>
    <definedName function="false" hidden="true" localSheetId="4" name="_xlnm._FilterDatabase" vbProcedure="false">Progressions!$A$1:$I$44</definedName>
    <definedName function="false" hidden="true" localSheetId="5" name="_xlnm._FilterDatabase" vbProcedure="false">Relations!$A$1:$E$18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<sst xmlns="http://schemas.openxmlformats.org/spreadsheetml/2006/main" count="2410" uniqueCount="941">
  <si>
    <t xml:space="preserve">Batch 1 - Danalieth (niveau 59)</t>
  </si>
  <si>
    <t xml:space="preserve">Premier lot de contenu : tout ce que Danalieth utilise, au format d'import du catalogue.</t>
  </si>
  <si>
    <t xml:space="preserve">Onglets</t>
  </si>
  <si>
    <t xml:space="preserve">Entities : une ligne par élément du catalogue (classe, don, pouvoir, sort, objet, archétype...).</t>
  </si>
  <si>
    <t xml:space="preserve">Effects : un effet par ligne, rattaché à une entité par entity_id (modèle du moteur de règles).</t>
  </si>
  <si>
    <t xml:space="preserve">Progressions : une ligne par niveau de classe (BBA, sauvegardes, ce que le niveau donne).</t>
  </si>
  <si>
    <t xml:space="preserve">Relations : liens entre entités (donne, propriété d'objet, liste de sorts...).</t>
  </si>
  <si>
    <t xml:space="preserve">Danalieth checks : les 8 totaux de la fiche, recalculés à partir des composantes. Doivent rester à « OK ».</t>
  </si>
  <si>
    <t xml:space="preserve">Questions : ce que je n'ai pas pu déduire. Répondez dans la colonne jaune.</t>
  </si>
  <si>
    <t xml:space="preserve">Comment relire</t>
  </si>
  <si>
    <t xml:space="preserve">1. Colonne status : draft = rempli par Claude, à relire ; to confirm = hypothèse à valider ; to complete = information manquante ; reviewed = validé par vous.</t>
  </si>
  <si>
    <t xml:space="preserve">2. Cellules jaunes = à compléter ou confirmer en priorité.</t>
  </si>
  <si>
    <t xml:space="preserve">3. La ligne verte en haut de Entities et Effects est un exemple de format, à ne pas importer.</t>
  </si>
  <si>
    <t xml:space="preserve">4. Corrigez directement les cellules ou ajoutez un commentaire ; je reprends les corrections au lot suivant.</t>
  </si>
  <si>
    <t xml:space="preserve">Conventions</t>
  </si>
  <si>
    <t xml:space="preserve">id : préfixe de type + nom anglais en minuscules (feat.power_attack). Ne change jamais, même si le nom change.</t>
  </si>
  <si>
    <t xml:space="preserve">provenance : official ou team. source : livre ou « Équipe ».</t>
  </si>
  <si>
    <t xml:space="preserve">op : add, multiply, set, min, max, dice, grant. mult_mode : additive ou multiplicative (obligatoire pour multiply). layer : base ou final (pour set).</t>
  </si>
  <si>
    <t xml:space="preserve">value : nombre, formule (@stat, level('class.x'), floor(), min(), if()) ou dés (20d6).</t>
  </si>
  <si>
    <t xml:space="preserve">Textes des livres hors SRD : résumés courts écrits par Claude, pas le texte du livre.</t>
  </si>
  <si>
    <t xml:space="preserve">#</t>
  </si>
  <si>
    <t xml:space="preserve">Topic</t>
  </si>
  <si>
    <t xml:space="preserve">Question</t>
  </si>
  <si>
    <t xml:space="preserve">Your answer</t>
  </si>
  <si>
    <t xml:space="preserve">Status</t>
  </si>
  <si>
    <t xml:space="preserve">Fiche</t>
  </si>
  <si>
    <t xml:space="preserve">Base d'attaque : 39 dans le tableau des classes, 49 dans la ligne d'attaque. D'où viennent les 10 de plus ?</t>
  </si>
  <si>
    <t xml:space="preserve">Puissance divine : BBA = niveau jusqu'à 20, puis +0,75 par niveau (49 au niveau 59). Ajouté.</t>
  </si>
  <si>
    <t xml:space="preserve">answered (round 1)</t>
  </si>
  <si>
    <t xml:space="preserve">Points de vie : 2480, puis −915, puis 1665. Que représente −915 ?</t>
  </si>
  <si>
    <t xml:space="preserve">Ignoré.</t>
  </si>
  <si>
    <t xml:space="preserve">Que représentent la ligne « 81 84 44 » et la valeur « 73,5 » à côté de Résistance suprême ?</t>
  </si>
  <si>
    <t xml:space="preserve">Totaux des jets de sauvegarde : recalculés dans Danalieth checks (81 / 84 / 44, OK).</t>
  </si>
  <si>
    <t xml:space="preserve">Ligne « Ward 4 3 » et « 8640 » : à quoi correspondent-ils ?</t>
  </si>
  <si>
    <t xml:space="preserve">Ward : 4 utilisations par jour (suivi des utilisations hors périmètre). 8640 ignoré.</t>
  </si>
  <si>
    <t xml:space="preserve">Caractéristiques : dans quelle colonne va chaque composante (base, race, Démon, Vampire, Dragon, tome, ioun, altération, sorts) ? L'export a perdu les colonnes vides.</t>
  </si>
  <si>
    <t xml:space="preserve">Colonnes = types de bonus. Tableau reconstruit dans Danalieth abilities, tous les totaux OK.</t>
  </si>
  <si>
    <t xml:space="preserve">Archétypes</t>
  </si>
  <si>
    <t xml:space="preserve">Démon, Vampire, Dragon : archétypes officiels (demi-fiélon, vampire, demi-dragon) ou de l'équipe ? Bonus de chacun ?</t>
  </si>
  <si>
    <t xml:space="preserve">Archétypes de l'équipe.</t>
  </si>
  <si>
    <t xml:space="preserve">Dons</t>
  </si>
  <si>
    <t xml:space="preserve">« 5 x spell improvement, caster level +4 » : quel don, quel effet par prise ?</t>
  </si>
  <si>
    <t xml:space="preserve">Don cumulable +4 niveau de lanceur, plafonné au niveau de personnage.</t>
  </si>
  <si>
    <t xml:space="preserve">Superspell et Intensify : coût en niveaux d'emplacement, et mode des multiplicateurs (additif ou multiplicatif) ?</t>
  </si>
  <si>
    <t xml:space="preserve">Superspell ×4 : +9 ; Intensify ×2 : +6.</t>
  </si>
  <si>
    <t xml:space="preserve">Attaque en puissance et Expertise du combat : valeur fixe à choisir dans l'app, ou description seule ?</t>
  </si>
  <si>
    <t xml:space="preserve">Interrupteur avec valeur choisie en début de tour.</t>
  </si>
  <si>
    <t xml:space="preserve">Volonté de la mort</t>
  </si>
  <si>
    <t xml:space="preserve">Art de la magie +5 / +10 / +20 et niveau de lanceur +3 / +6 / +15 : cumulatifs ou remplacements ?</t>
  </si>
  <si>
    <t xml:space="preserve">Remplacement.</t>
  </si>
  <si>
    <t xml:space="preserve">Sort épique : un sort connu en plus, ou un emplacement par jour en plus ?</t>
  </si>
  <si>
    <t xml:space="preserve">Un emplacement supplémentaire d'un niveau au-dessus du maximum.</t>
  </si>
  <si>
    <t xml:space="preserve">Sorts</t>
  </si>
  <si>
    <t xml:space="preserve">Moonbow, Météorite, Force du colosse, Force de la nature, Taille de géant, soins (375 et 40/round) : officiels ou de l'équipe ? Effets complets ?</t>
  </si>
  <si>
    <t xml:space="preserve">Colosse, Nature, Géant : officiels. Autres : équipe.</t>
  </si>
  <si>
    <t xml:space="preserve">Faveur divine à +24, Force du taureau à 32, Protection contre le Mal à 4 : quelle métamagie ou règle donne ces valeurs ?</t>
  </si>
  <si>
    <t xml:space="preserve">Superspell ×4.</t>
  </si>
  <si>
    <t xml:space="preserve">Objets</t>
  </si>
  <si>
    <t xml:space="preserve">Breloques 1d4−1 et 1d4+1 : tirées une fois à l'obtention, ou à chaque utilisation ? Que mesurent-elles ?</t>
  </si>
  <si>
    <t xml:space="preserve">Temps de recharge de l'objet.</t>
  </si>
  <si>
    <t xml:space="preserve">Lame de destruction : arme de base et dégâts de base ?</t>
  </si>
  <si>
    <t xml:space="preserve">Épée à deux mains.</t>
  </si>
  <si>
    <t xml:space="preserve">Défenses</t>
  </si>
  <si>
    <t xml:space="preserve">Absorption 40, RM 72, Vulnérabilité à la magie, Résistance suprême, Puissance draconique : quelles sources ?</t>
  </si>
  <si>
    <t xml:space="preserve">Sorts, souvent officiels, avec Superspell.</t>
  </si>
  <si>
    <t xml:space="preserve">Classes</t>
  </si>
  <si>
    <t xml:space="preserve">Initié du voile septuple et Mage ultime : capacités par niveau à compléter (hors SRD). « Augmented 9 » ?</t>
  </si>
  <si>
    <t xml:space="preserve">Extension de l'équipe reçue (niveaux 11-20).</t>
  </si>
  <si>
    <t xml:space="preserve">Capacités</t>
  </si>
  <si>
    <t xml:space="preserve">Warblade : « Unflooded » sur la fiche, de quoi s'agit-il ?</t>
  </si>
  <si>
    <t xml:space="preserve">Esquive instinctive : ne peut pas être pris au dépourvu.</t>
  </si>
  <si>
    <t xml:space="preserve">Superspell, Intensify, Empower, Primum incantatum : quand deux s'appliquent, additif (×4 et ×2 → ×5) ou multiplicatif (×8) ? C'est la seule réponse qui bloque le calcul des variantes.</t>
  </si>
  <si>
    <t xml:space="preserve">Empower, Intensify, Superspell non cumulables (seul le plus fort) ; Primum multiplicatif.</t>
  </si>
  <si>
    <t xml:space="preserve">answered (round 2)</t>
  </si>
  <si>
    <t xml:space="preserve">Puissance divine : la version du SRD donne aussi +6 d'altération en Force et 1 PV temporaire par niveau. Les gardez-vous ?</t>
  </si>
  <si>
    <t xml:space="preserve">Gardés ; +6 Force non cumulable avec l'altération de Force du taureau.</t>
  </si>
  <si>
    <t xml:space="preserve">Faveur divine +24 = 6 × 4 : plafond maison +6 au lieu de +3 ? Protection contre le Mal à 4 : avec Superspell on attendrait 8.</t>
  </si>
  <si>
    <t xml:space="preserve">Plafond +6 (source SRD FR). Protection contre le Mal fournie par l'armure, sans Superspell.</t>
  </si>
  <si>
    <t xml:space="preserve">Force du colosse : 12 en Force et 6 en Constitution sur la fiche. Valeurs de base ?</t>
  </si>
  <si>
    <t xml:space="preserve">Bonus de taille, avec Empower (8 → 12, 4 → 6).</t>
  </si>
  <si>
    <t xml:space="preserve">Types de bonus</t>
  </si>
  <si>
    <t xml:space="preserve">Force du colosse, Force de la nature et Taille de géant se cumulent entre eux et avec l'altération : quel type de bonus pour chacun ? Et les pierres ioun : un type « ioun » propre à la table ?</t>
  </si>
  <si>
    <t xml:space="preserve">Taille de géant : taille C (+32 / +16). Force du colosse : bonus de taille en plus, accord du MJ.</t>
  </si>
  <si>
    <t xml:space="preserve">Race</t>
  </si>
  <si>
    <t xml:space="preserve">+2 Intelligence, −2 Charisme : quelle race ?</t>
  </si>
  <si>
    <t xml:space="preserve">Race personnalisée.</t>
  </si>
  <si>
    <t xml:space="preserve">Émissaire de Von Tarkhein : BBA et sauvegardes par niveau ? La fiche montre 5 à chaque sauvegarde pour 3 niveaux de Volonté de la mort.</t>
  </si>
  <si>
    <t xml:space="preserve">Classe épique : +½ par niveau.</t>
  </si>
  <si>
    <t xml:space="preserve">Mage ultime niveaux 1 à 10 (Complete Mage) : voulez-vous que je remplisse depuis le livre (résumé, à vérifier) ?</t>
  </si>
  <si>
    <t xml:space="preserve">Oui : rempli de mémoire, à vérifier.</t>
  </si>
  <si>
    <t xml:space="preserve">Dégâts</t>
  </si>
  <si>
    <t xml:space="preserve">Composante « Arme 10 » dans les dégâts : d'où vient-elle (l'épée à deux mains fait 2d6) ?</t>
  </si>
  <si>
    <t xml:space="preserve">3d6 (taille G avec Force du colosse), moyenne 10.</t>
  </si>
  <si>
    <t xml:space="preserve">Critique</t>
  </si>
  <si>
    <t xml:space="preserve">Épée à deux mains 19-20, +3 (arme) +3 (vampire) : en 3.5 cela donne 13-20, la fiche dit 14-20. Comment comptez-vous l'extension ?</t>
  </si>
  <si>
    <t xml:space="preserve">13-20.</t>
  </si>
  <si>
    <t xml:space="preserve">Lanceur</t>
  </si>
  <si>
    <t xml:space="preserve">Niveau de lanceur Magicien 60 et Ensorceleur 29 : quelle composition ? (test important du moteur)</t>
  </si>
  <si>
    <t xml:space="preserve">Le moteur le calculera depuis les enregistrements de niveau.</t>
  </si>
  <si>
    <t xml:space="preserve">Ward, Absorption, Vulnérabilité à la magie, Résistance suprême, Puissance draconique : effets tels que vous les jouez ? Résistance suprême ne se cumulerait pas avec la cape +12.</t>
  </si>
  <si>
    <t xml:space="preserve">Retirés.</t>
  </si>
  <si>
    <t xml:space="preserve">Sauvegardes</t>
  </si>
  <si>
    <t xml:space="preserve">Volonté de la mort : la fiche met 5 à chaque sauvegarde pour 3 niveaux, mais la règle épique donne 1,5. Avec 1,5, Réflexes et Volonté passent de 29 à 25. Lequel est juste ?</t>
  </si>
  <si>
    <t xml:space="preserve">Corrigé : règle épique + bonus spécial de 3,5 (Résistance de l'émissaire) pour garder les valeurs.</t>
  </si>
  <si>
    <t xml:space="preserve">answered (round 3)</t>
  </si>
  <si>
    <t xml:space="preserve">Protection</t>
  </si>
  <si>
    <t xml:space="preserve">Protection contre le Mal par l'Armure céleste : +4 en CA (fiche) au lieu de +2 (SRD) ?</t>
  </si>
  <si>
    <t xml:space="preserve">SRD : +2.</t>
  </si>
  <si>
    <t xml:space="preserve">Mage ultime</t>
  </si>
  <si>
    <t xml:space="preserve">Niveaux 1 à 10 remplis de mémoire : à vérifier avec votre livre (onglet Progressions, lignes jaunes).</t>
  </si>
  <si>
    <t xml:space="preserve">Table du livre fournie, niveaux 1-10 remplis.</t>
  </si>
  <si>
    <t xml:space="preserve">id</t>
  </si>
  <si>
    <t xml:space="preserve">type</t>
  </si>
  <si>
    <t xml:space="preserve">name_fr</t>
  </si>
  <si>
    <t xml:space="preserve">name_en</t>
  </si>
  <si>
    <t xml:space="preserve">provenance</t>
  </si>
  <si>
    <t xml:space="preserve">source</t>
  </si>
  <si>
    <t xml:space="preserve">labels</t>
  </si>
  <si>
    <t xml:space="preserve">prerequisite</t>
  </si>
  <si>
    <t xml:space="preserve">uses_per_day</t>
  </si>
  <si>
    <t xml:space="preserve">description_fr</t>
  </si>
  <si>
    <t xml:space="preserve">description_en</t>
  </si>
  <si>
    <t xml:space="preserve">status</t>
  </si>
  <si>
    <t xml:space="preserve">reviewer_notes</t>
  </si>
  <si>
    <t xml:space="preserve">feat.example_feat</t>
  </si>
  <si>
    <t xml:space="preserve">feat</t>
  </si>
  <si>
    <t xml:space="preserve">Nom français</t>
  </si>
  <si>
    <t xml:space="preserve">English name</t>
  </si>
  <si>
    <t xml:space="preserve">team</t>
  </si>
  <si>
    <t xml:space="preserve">Équipe</t>
  </si>
  <si>
    <t xml:space="preserve">melee; epic</t>
  </si>
  <si>
    <t xml:space="preserve">level() &gt;= 21</t>
  </si>
  <si>
    <t xml:space="preserve">Description courte en français.</t>
  </si>
  <si>
    <t xml:space="preserve">(later)</t>
  </si>
  <si>
    <t xml:space="preserve">draft</t>
  </si>
  <si>
    <t xml:space="preserve">Ligne d'exemple, ne pas importer</t>
  </si>
  <si>
    <t xml:space="preserve">class.warblade</t>
  </si>
  <si>
    <t xml:space="preserve">class</t>
  </si>
  <si>
    <t xml:space="preserve">Maître des lames</t>
  </si>
  <si>
    <t xml:space="preserve">Warblade</t>
  </si>
  <si>
    <t xml:space="preserve">official</t>
  </si>
  <si>
    <t xml:space="preserve">Book of Nine Swords</t>
  </si>
  <si>
    <t xml:space="preserve">melee; maneuvers</t>
  </si>
  <si>
    <t xml:space="preserve">Guerrier initiateur de manœuvres martiales ; d12, BBA élevé, Vigueur forte.</t>
  </si>
  <si>
    <t xml:space="preserve">Classe de base de Danalieth (niveaux 1-20).</t>
  </si>
  <si>
    <t xml:space="preserve">class.wizard</t>
  </si>
  <si>
    <t xml:space="preserve">Magicien</t>
  </si>
  <si>
    <t xml:space="preserve">Wizard</t>
  </si>
  <si>
    <t xml:space="preserve">SRD</t>
  </si>
  <si>
    <t xml:space="preserve">arcane; prepared</t>
  </si>
  <si>
    <t xml:space="preserve">Lanceur de sorts profanes préparés, d4.</t>
  </si>
  <si>
    <t xml:space="preserve">Mode de sorts : free slots (règle de campagne) ou prepared ? Voir Questions.</t>
  </si>
  <si>
    <t xml:space="preserve">class.sorcerer</t>
  </si>
  <si>
    <t xml:space="preserve">Ensorceleur</t>
  </si>
  <si>
    <t xml:space="preserve">Sorcerer</t>
  </si>
  <si>
    <t xml:space="preserve">arcane; spontaneous</t>
  </si>
  <si>
    <t xml:space="preserve">Lanceur de sorts profanes spontanés, d4.</t>
  </si>
  <si>
    <t xml:space="preserve">class.archmage</t>
  </si>
  <si>
    <t xml:space="preserve">prestige_class</t>
  </si>
  <si>
    <t xml:space="preserve">Archimage</t>
  </si>
  <si>
    <t xml:space="preserve">Archmage</t>
  </si>
  <si>
    <t xml:space="preserve">arcane; epic-friendly</t>
  </si>
  <si>
    <t xml:space="preserve">Art de la magie 15 rangs ; sorts du 7e niveau ; Talent (Art de la magie) ; Science de... (voir SRD)</t>
  </si>
  <si>
    <t xml:space="preserve">Classe de prestige des maîtres des arcanes ; chaque niveau donne un pouvoir de Haute arcane.</t>
  </si>
  <si>
    <t xml:space="preserve">to confirm</t>
  </si>
  <si>
    <t xml:space="preserve">Prérequis exacts à reprendre du SRD lors de l'import.</t>
  </si>
  <si>
    <t xml:space="preserve">class.sevenfold_veil</t>
  </si>
  <si>
    <t xml:space="preserve">Initié du voile septuple</t>
  </si>
  <si>
    <t xml:space="preserve">Initiate of the Sevenfold Veil</t>
  </si>
  <si>
    <t xml:space="preserve">Complete Arcane</t>
  </si>
  <si>
    <t xml:space="preserve">arcane; abjuration</t>
  </si>
  <si>
    <t xml:space="preserve">@skill.knowledge_arcana.ranks &gt;= 12 and @skill.knowledge_nature.ranks &gt;= 4 and @skill.spellcraft.ranks &gt;= 12 and has('feat.spell_focus_abjuration') and has('feat.greater_spell_focus_abjuration') and has('feat.skill_focus_spellcraft')</t>
  </si>
  <si>
    <t xml:space="preserve">Abjurateur qui tisse des voiles colorés. Dé de vie d4 ; 2 + Int points de compétence. Conditions : Connaissances (mystères) 12 rangs, Connaissances (nature) 4 rangs, Art de la magie 12 rangs, École renforcée et École supérieure (abjuration), Talent (Art de la magie), savoir lancer cinq sorts d'abjuration dont deux du 4e niveau ou plus.</t>
  </si>
  <si>
    <t xml:space="preserve">Source : dndtools.net. Condition « cinq sorts d'abjuration » vérifiée à la main.</t>
  </si>
  <si>
    <t xml:space="preserve">class.ultimate_magus</t>
  </si>
  <si>
    <t xml:space="preserve">Ultimate Magus</t>
  </si>
  <si>
    <t xml:space="preserve">official + team</t>
  </si>
  <si>
    <t xml:space="preserve">Complete Mage + Équipe</t>
  </si>
  <si>
    <t xml:space="preserve">arcane; dual casting</t>
  </si>
  <si>
    <t xml:space="preserve">Combine magie préparée et spontanée, et utilise l'une pour renforcer l'autre. Dé de vie d4 ; 2 + Int points de compétence. Compétences de classe : Concentration, Artisanat, Décryptage, Connaissances (toutes), Profession, Art de la magie, Utilisation d'objets magiques.</t>
  </si>
  <si>
    <t xml:space="preserve">Niveaux 1-10 : table du livre (Complete Mage). Niveaux 11-20 : extension de l'équipe.</t>
  </si>
  <si>
    <t xml:space="preserve">class.vt_grip_of_death</t>
  </si>
  <si>
    <t xml:space="preserve">Émissaire de Von Tarkhein : Poigne de la mort</t>
  </si>
  <si>
    <t xml:space="preserve">Emissary of Von Tarkhein: Grip of Death</t>
  </si>
  <si>
    <t xml:space="preserve">death; melee; custom</t>
  </si>
  <si>
    <t xml:space="preserve">Voie martiale de l'émissaire : emprise sur la mort, résilience d'outre-tombe, régénération.</t>
  </si>
  <si>
    <t xml:space="preserve">Classe épique : BBA et sauvegardes +½ par niveau.</t>
  </si>
  <si>
    <t xml:space="preserve">class.vt_will_of_death</t>
  </si>
  <si>
    <t xml:space="preserve">Émissaire de Von Tarkhein : Volonté de la mort</t>
  </si>
  <si>
    <t xml:space="preserve">Emissary of Von Tarkhein: Will of Death</t>
  </si>
  <si>
    <t xml:space="preserve">death; arcane; custom</t>
  </si>
  <si>
    <t xml:space="preserve">Voie arcanique de l'émissaire : sorts épiques et secrets des arcanes.</t>
  </si>
  <si>
    <t xml:space="preserve">Classe épique : BBA et sauvegardes +½ par niveau. Danalieth : 3 niveaux.</t>
  </si>
  <si>
    <t xml:space="preserve">template.demon</t>
  </si>
  <si>
    <t xml:space="preserve">template</t>
  </si>
  <si>
    <t xml:space="preserve">Démon</t>
  </si>
  <si>
    <t xml:space="preserve">Demon</t>
  </si>
  <si>
    <t xml:space="preserve">template; fiend</t>
  </si>
  <si>
    <t xml:space="preserve">Archétype démoniaque.</t>
  </si>
  <si>
    <t xml:space="preserve">Archétype de l'équipe. Bonus de caractéristiques repris de la fiche (onglet Danalieth abilities).</t>
  </si>
  <si>
    <t xml:space="preserve">template.vampire</t>
  </si>
  <si>
    <t xml:space="preserve">Vampire</t>
  </si>
  <si>
    <t xml:space="preserve">template; undead</t>
  </si>
  <si>
    <t xml:space="preserve">Archétype vampirique, avec règles maison (durée, critique, forme de chauve-souris).</t>
  </si>
  <si>
    <t xml:space="preserve">template.dragon</t>
  </si>
  <si>
    <t xml:space="preserve">Dragon</t>
  </si>
  <si>
    <t xml:space="preserve">template; dragon</t>
  </si>
  <si>
    <t xml:space="preserve">Archétype draconique.</t>
  </si>
  <si>
    <t xml:space="preserve">feat.spell_focus_abjuration</t>
  </si>
  <si>
    <t xml:space="preserve">École renforcée (abjuration)</t>
  </si>
  <si>
    <t xml:space="preserve">Spell Focus (abjuration)</t>
  </si>
  <si>
    <t xml:space="preserve">magic; DC</t>
  </si>
  <si>
    <t xml:space="preserve">+1 au DD des sorts d'abjuration.</t>
  </si>
  <si>
    <t xml:space="preserve">feat.greater_spell_focus_abjuration</t>
  </si>
  <si>
    <t xml:space="preserve">École supérieure (abjuration)</t>
  </si>
  <si>
    <t xml:space="preserve">Greater Spell Focus (abjuration)</t>
  </si>
  <si>
    <t xml:space="preserve">has('feat.spell_focus_abjuration')</t>
  </si>
  <si>
    <t xml:space="preserve">+1 supplémentaire au DD des sorts d'abjuration.</t>
  </si>
  <si>
    <t xml:space="preserve">feat.skill_focus_spellcraft</t>
  </si>
  <si>
    <t xml:space="preserve">Talent (Art de la magie)</t>
  </si>
  <si>
    <t xml:space="preserve">Skill Focus (Spellcraft)</t>
  </si>
  <si>
    <t xml:space="preserve">skill</t>
  </si>
  <si>
    <t xml:space="preserve">+3 en Art de la magie.</t>
  </si>
  <si>
    <t xml:space="preserve">feat.power_attack</t>
  </si>
  <si>
    <t xml:space="preserve">Attaque en puissance</t>
  </si>
  <si>
    <t xml:space="preserve">Power Attack</t>
  </si>
  <si>
    <t xml:space="preserve">melee</t>
  </si>
  <si>
    <t xml:space="preserve">@ability.str.score &gt;= 13</t>
  </si>
  <si>
    <t xml:space="preserve">Échange un malus à l'attaque contre un bonus aux dégâts (double à deux mains).</t>
  </si>
  <si>
    <t xml:space="preserve">Interrupteur avec valeur choisie par le joueur en début de tour.</t>
  </si>
  <si>
    <t xml:space="preserve">feat.combat_expertise</t>
  </si>
  <si>
    <t xml:space="preserve">Expertise du combat</t>
  </si>
  <si>
    <t xml:space="preserve">Combat Expertise</t>
  </si>
  <si>
    <t xml:space="preserve">melee; defense</t>
  </si>
  <si>
    <t xml:space="preserve">@ability.int.score &gt;= 13</t>
  </si>
  <si>
    <t xml:space="preserve">Échange jusqu'à 5 points d'attaque contre la même valeur en CA (esquive).</t>
  </si>
  <si>
    <t xml:space="preserve">feat.empower_spell</t>
  </si>
  <si>
    <t xml:space="preserve">Extension d'effet</t>
  </si>
  <si>
    <t xml:space="preserve">Empower Spell</t>
  </si>
  <si>
    <t xml:space="preserve">metamagic</t>
  </si>
  <si>
    <t xml:space="preserve">Effets numériques ×1,5 ; +2 niveaux d'emplacement. Non cumulable avec Empower, Intensify et Superspell : seul le plus fort s'applique.</t>
  </si>
  <si>
    <t xml:space="preserve">feat.quicken_spell</t>
  </si>
  <si>
    <t xml:space="preserve">Incantation rapide</t>
  </si>
  <si>
    <t xml:space="preserve">Quicken Spell</t>
  </si>
  <si>
    <t xml:space="preserve">Sort lancé par action rapide ; +4 niveaux.</t>
  </si>
  <si>
    <t xml:space="preserve">feat.extend_spell</t>
  </si>
  <si>
    <t xml:space="preserve">Extension de durée</t>
  </si>
  <si>
    <t xml:space="preserve">Extend Spell</t>
  </si>
  <si>
    <t xml:space="preserve">Durée ×2 ; +1 niveau.</t>
  </si>
  <si>
    <t xml:space="preserve">feat.persistent_spell</t>
  </si>
  <si>
    <t xml:space="preserve">Sort persistant</t>
  </si>
  <si>
    <t xml:space="preserve">Persistent Spell</t>
  </si>
  <si>
    <t xml:space="preserve">Durée portée à 24 heures ; +6 niveaux.</t>
  </si>
  <si>
    <t xml:space="preserve">Coût +6 d'après le livre ; à confirmer pour votre table.</t>
  </si>
  <si>
    <t xml:space="preserve">feat.intensify_spell</t>
  </si>
  <si>
    <t xml:space="preserve">Intensification</t>
  </si>
  <si>
    <t xml:space="preserve">Intensify Spell</t>
  </si>
  <si>
    <t xml:space="preserve">Epic (SRD)</t>
  </si>
  <si>
    <t xml:space="preserve">metamagic; epic</t>
  </si>
  <si>
    <t xml:space="preserve">Effets numériques ×2 ; +6 niveaux d'emplacement (version de la table). Non cumulable avec Empower, Intensify et Superspell : seul le plus fort s'applique.</t>
  </si>
  <si>
    <t xml:space="preserve">feat.superspell</t>
  </si>
  <si>
    <t xml:space="preserve">Superspell</t>
  </si>
  <si>
    <t xml:space="preserve">metamagic; custom</t>
  </si>
  <si>
    <t xml:space="preserve">Effets numériques ×4 (y compris les buffs : Force du taureau, Peau d'écorce...) ; +9 niveaux d'emplacement. Non cumulable avec Empower, Intensify et Superspell : seul le plus fort s'applique.</t>
  </si>
  <si>
    <t xml:space="preserve">feat.improved_metamagic</t>
  </si>
  <si>
    <t xml:space="preserve">Métamagie améliorée</t>
  </si>
  <si>
    <t xml:space="preserve">Improved Metamagic</t>
  </si>
  <si>
    <t xml:space="preserve">Réduit de 1 le coût de chaque don de métamagie (minimum +1).</t>
  </si>
  <si>
    <t xml:space="preserve">Peut être pris plusieurs fois dans le SRD épique.</t>
  </si>
  <si>
    <t xml:space="preserve">feat.improved_spell_capacity</t>
  </si>
  <si>
    <t xml:space="preserve">Capacité de sort améliorée</t>
  </si>
  <si>
    <t xml:space="preserve">Improved Spell Capacity</t>
  </si>
  <si>
    <t xml:space="preserve">epic; slots</t>
  </si>
  <si>
    <t xml:space="preserve">Un emplacement d'un niveau au-dessus du maximum. Cumulable (×12 pour Danalieth).</t>
  </si>
  <si>
    <t xml:space="preserve">feat.spell_improvement</t>
  </si>
  <si>
    <t xml:space="preserve">Amélioration du niveau de lanceur</t>
  </si>
  <si>
    <t xml:space="preserve">Spell improvement</t>
  </si>
  <si>
    <t xml:space="preserve">epic; caster level</t>
  </si>
  <si>
    <t xml:space="preserve">+4 au niveau de lanceur par prise, sans dépasser le niveau de personnage. Cumulable ; sert aux multiclassés pour rattraper leur niveau de lanceur.</t>
  </si>
  <si>
    <t xml:space="preserve">Danalieth : 5 prises.</t>
  </si>
  <si>
    <t xml:space="preserve">feat.continuum_comprehension</t>
  </si>
  <si>
    <t xml:space="preserve">Compréhension du continuum</t>
  </si>
  <si>
    <t xml:space="preserve">Continuum Comprehension</t>
  </si>
  <si>
    <t xml:space="preserve">skill; story</t>
  </si>
  <si>
    <t xml:space="preserve">+2 en Art de la magie. Obtenu quand le groupe a altéré le monde devant les elfes en lançant 1200 niveaux de sorts.</t>
  </si>
  <si>
    <t xml:space="preserve">power.warblade_battle_clarity</t>
  </si>
  <si>
    <t xml:space="preserve">class_power</t>
  </si>
  <si>
    <t xml:space="preserve">Clarté du combat</t>
  </si>
  <si>
    <t xml:space="preserve">Battle Clarity</t>
  </si>
  <si>
    <t xml:space="preserve">warblade</t>
  </si>
  <si>
    <t xml:space="preserve">Ajoute le modificateur d'Intelligence aux jets de Réflexes.</t>
  </si>
  <si>
    <t xml:space="preserve">Plafond par niveau de classe dans le livre ; règle maison sans plafond ?</t>
  </si>
  <si>
    <t xml:space="preserve">power.warblade_battle_cunning</t>
  </si>
  <si>
    <t xml:space="preserve">Ruse du combat</t>
  </si>
  <si>
    <t xml:space="preserve">Battle Cunning</t>
  </si>
  <si>
    <t xml:space="preserve">Book of Nine Swords + Équipe</t>
  </si>
  <si>
    <t xml:space="preserve">Ajoute le modificateur d'Intelligence aux dégâts (règle maison : toujours, pas seulement contre un adversaire pris au dépourvu).</t>
  </si>
  <si>
    <t xml:space="preserve">power.warblade_battle_skill</t>
  </si>
  <si>
    <t xml:space="preserve">Talent du combat</t>
  </si>
  <si>
    <t xml:space="preserve">Battle Skill</t>
  </si>
  <si>
    <t xml:space="preserve">Ajoute le modificateur d'Intelligence aux tests opposés (bousculade, croc-en-jambe...).</t>
  </si>
  <si>
    <t xml:space="preserve">power.archmage_mastery_of_shaping</t>
  </si>
  <si>
    <t xml:space="preserve">Maîtrise de la forme</t>
  </si>
  <si>
    <t xml:space="preserve">Mastery of Shaping</t>
  </si>
  <si>
    <t xml:space="preserve">archmage; high arcana</t>
  </si>
  <si>
    <t xml:space="preserve">Peut créer des espaces non affectés dans les cônes, cylindres, émanations, étendues et rayonnements.</t>
  </si>
  <si>
    <t xml:space="preserve">Description seule.</t>
  </si>
  <si>
    <t xml:space="preserve">power.archmage_mastery_of_elements</t>
  </si>
  <si>
    <t xml:space="preserve">Maîtrise des énergies</t>
  </si>
  <si>
    <t xml:space="preserve">Mastery of Elements</t>
  </si>
  <si>
    <t xml:space="preserve">Change le type d'énergie d'un sort (acide, électricité, feu, froid, son).</t>
  </si>
  <si>
    <t xml:space="preserve">power.archmage_mastery_of_counterspelling</t>
  </si>
  <si>
    <t xml:space="preserve">Maîtrise des contresorts</t>
  </si>
  <si>
    <t xml:space="preserve">Mastery of Counterspelling</t>
  </si>
  <si>
    <t xml:space="preserve">Un sort contré est renvoyé au lieu d'être dissipé.</t>
  </si>
  <si>
    <t xml:space="preserve">power.archmage_arcane_reach</t>
  </si>
  <si>
    <t xml:space="preserve">Portée profane</t>
  </si>
  <si>
    <t xml:space="preserve">Arcane Reach</t>
  </si>
  <si>
    <t xml:space="preserve">Les sorts de contact peuvent être lancés à 9 m.</t>
  </si>
  <si>
    <t xml:space="preserve">Effet sur spell.range (set 9 m) quand la portée est contact.</t>
  </si>
  <si>
    <t xml:space="preserve">power.archmage_spell_power</t>
  </si>
  <si>
    <t xml:space="preserve">Puissance des sorts</t>
  </si>
  <si>
    <t xml:space="preserve">Spell Power</t>
  </si>
  <si>
    <t xml:space="preserve">+1 niveau de lanceur de sorts.</t>
  </si>
  <si>
    <t xml:space="preserve">power.ultimate_magus_caster_level</t>
  </si>
  <si>
    <t xml:space="preserve">Progression du mage ultime</t>
  </si>
  <si>
    <t xml:space="preserve">Ultimate Magus caster level</t>
  </si>
  <si>
    <t xml:space="preserve">Complete Mage</t>
  </si>
  <si>
    <t xml:space="preserve">ultimate magus</t>
  </si>
  <si>
    <t xml:space="preserve">Fiche : niveau de lanceur +7 ; « Augmented 9 ».</t>
  </si>
  <si>
    <t xml:space="preserve">Fiche : « Caster level +7 ». Remplacé par Puissance des sorts profanes (+8 au niveau 20) et la progression des sorts ; à retirer si doublon.</t>
  </si>
  <si>
    <t xml:space="preserve">power.vt_grip_of_death</t>
  </si>
  <si>
    <t xml:space="preserve">Emprise de la mort</t>
  </si>
  <si>
    <t xml:space="preserve">Grip of Death</t>
  </si>
  <si>
    <t xml:space="preserve">death; aura</t>
  </si>
  <si>
    <t xml:space="preserve">Après 1 round d'activation (action libre), aura de 20 m : l'émissaire redirige sur lui 5 % des dégâts subis par ses alliés (10 % au niveau 2, 15 % au niveau 3). Cumulatif avec d'autres effets.</t>
  </si>
  <si>
    <t xml:space="preserve">power.vt_beyond_grave_resilience</t>
  </si>
  <si>
    <t xml:space="preserve">Résilience d'outre-tombe</t>
  </si>
  <si>
    <t xml:space="preserve">Beyond-the-Grave Resilience</t>
  </si>
  <si>
    <t xml:space="preserve">death; hit points</t>
  </si>
  <si>
    <t xml:space="preserve">+500 points de vie au niveau 1, 1000 au niveau 2, 2000 au total au niveau 3.</t>
  </si>
  <si>
    <t xml:space="preserve">power.vt_master_of_death</t>
  </si>
  <si>
    <t xml:space="preserve">Maître de la mort</t>
  </si>
  <si>
    <t xml:space="preserve">Master of Death</t>
  </si>
  <si>
    <t xml:space="preserve">death; regeneration</t>
  </si>
  <si>
    <t xml:space="preserve">Quand Emprise de la mort est active : régénération de 5 % du total de points de vie par round (10 %, puis 15 %).</t>
  </si>
  <si>
    <t xml:space="preserve">power.vt_arcane_secret_spellcraft</t>
  </si>
  <si>
    <t xml:space="preserve">Secret des arcanes : Art de la magie</t>
  </si>
  <si>
    <t xml:space="preserve">Arcane Secret: Spellcraft</t>
  </si>
  <si>
    <t xml:space="preserve">arcane</t>
  </si>
  <si>
    <t xml:space="preserve">Bonus en Art de la magie : +5, puis +10, puis +20.</t>
  </si>
  <si>
    <t xml:space="preserve">Remplacement (+20 au maximum), d'après votre réponse « je crois ».</t>
  </si>
  <si>
    <t xml:space="preserve">power.vt_mortis_incantatum</t>
  </si>
  <si>
    <t xml:space="preserve">Mortis incantatum</t>
  </si>
  <si>
    <t xml:space="preserve">Mortis Incantatum</t>
  </si>
  <si>
    <t xml:space="preserve">arcane; spell modifier</t>
  </si>
  <si>
    <t xml:space="preserve">Le sort gagne +10 niveau de lanceur pour passer la RM et +10 au DD ; la cible subit un malus à ses défenses égal à 1/4 du niveau du sort.</t>
  </si>
  <si>
    <t xml:space="preserve">Modificateur de sort (variante), sans coût d'emplacement.</t>
  </si>
  <si>
    <t xml:space="preserve">power.vt_primum_incantatum</t>
  </si>
  <si>
    <t xml:space="preserve">Primum incantatum</t>
  </si>
  <si>
    <t xml:space="preserve">Primum Incantatum</t>
  </si>
  <si>
    <t xml:space="preserve">Dégâts du sort ×3, soins ×2, durée et zone ×2.</t>
  </si>
  <si>
    <t xml:space="preserve">Multiplicatif : se cumule avec la métamagie (Superspell ×4 puis ×3 = ×12).</t>
  </si>
  <si>
    <t xml:space="preserve">power.vt_infinitum_incantatum</t>
  </si>
  <si>
    <t xml:space="preserve">Infinitum incantatum</t>
  </si>
  <si>
    <t xml:space="preserve">Infinitum Incantatum</t>
  </si>
  <si>
    <t xml:space="preserve">Lance un d10 : sur 8 ou moins, le sort lancé n'est pas consommé.</t>
  </si>
  <si>
    <t xml:space="preserve">Description seule (règle de table).</t>
  </si>
  <si>
    <t xml:space="preserve">power.vt_epic_spell</t>
  </si>
  <si>
    <t xml:space="preserve">Sort épique (Volonté de la mort)</t>
  </si>
  <si>
    <t xml:space="preserve">Epic spell (Will of Death)</t>
  </si>
  <si>
    <t xml:space="preserve">epic spell</t>
  </si>
  <si>
    <t xml:space="preserve">Un emplacement de sort supplémentaire d'un niveau au-dessus du maximum, aux niveaux 1, 3, 5, 8 et 10.</t>
  </si>
  <si>
    <t xml:space="preserve">power.vampire_bat_form</t>
  </si>
  <si>
    <t xml:space="preserve">Forme de chauve-souris</t>
  </si>
  <si>
    <t xml:space="preserve">Bat form</t>
  </si>
  <si>
    <t xml:space="preserve">vampire; form</t>
  </si>
  <si>
    <t xml:space="preserve">Forme de chauve-souris : enchaînement (50 % des dégâts) et +180 m de déplacement.</t>
  </si>
  <si>
    <t xml:space="preserve">180 m de vol ou de déplacement au sol ?</t>
  </si>
  <si>
    <t xml:space="preserve">power.vampire_house_rules</t>
  </si>
  <si>
    <t xml:space="preserve">Règles du vampire</t>
  </si>
  <si>
    <t xml:space="preserve">Vampire house rules</t>
  </si>
  <si>
    <t xml:space="preserve">vampire</t>
  </si>
  <si>
    <t xml:space="preserve">Durée : niveau/3 + 3 ; bonus de critique (zone de critique +2 ou +3 ?).</t>
  </si>
  <si>
    <t xml:space="preserve">Fiche : « bonus critique (-2) » et lame « 3 vampire ».</t>
  </si>
  <si>
    <t xml:space="preserve">spell.bulls_strength</t>
  </si>
  <si>
    <t xml:space="preserve">spell</t>
  </si>
  <si>
    <t xml:space="preserve">Force du taureau</t>
  </si>
  <si>
    <t xml:space="preserve">Bull's Strength</t>
  </si>
  <si>
    <t xml:space="preserve">transmutation; buff</t>
  </si>
  <si>
    <t xml:space="preserve">+4 d'altération en Force.</t>
  </si>
  <si>
    <t xml:space="preserve">16 sur la fiche = +4 × 4 (Superspell).</t>
  </si>
  <si>
    <t xml:space="preserve">spell.bears_endurance</t>
  </si>
  <si>
    <t xml:space="preserve">Endurance de l'ours</t>
  </si>
  <si>
    <t xml:space="preserve">Bear's Endurance</t>
  </si>
  <si>
    <t xml:space="preserve">+4 d'altération en Constitution.</t>
  </si>
  <si>
    <t xml:space="preserve">spell.foxs_cunning</t>
  </si>
  <si>
    <t xml:space="preserve">Ruse du renard</t>
  </si>
  <si>
    <t xml:space="preserve">Fox's Cunning</t>
  </si>
  <si>
    <t xml:space="preserve">+4 d'altération en Intelligence.</t>
  </si>
  <si>
    <t xml:space="preserve">spell.divine_favor</t>
  </si>
  <si>
    <t xml:space="preserve">Faveur divine</t>
  </si>
  <si>
    <t xml:space="preserve">Divine Favor</t>
  </si>
  <si>
    <t xml:space="preserve">SRD (regles-donjons-dragons.com/page794.html)</t>
  </si>
  <si>
    <t xml:space="preserve">evocation; buff</t>
  </si>
  <si>
    <t xml:space="preserve">Bonus de chance de +1 aux jets d'attaque et de dégâts par tranche de 3 niveaux de lanceur (minimum +1, maximum +6). Ne s'applique pas aux dégâts des sorts.</t>
  </si>
  <si>
    <t xml:space="preserve">+24 = +6 × 4 (Superspell).</t>
  </si>
  <si>
    <t xml:space="preserve">spell.barkskin</t>
  </si>
  <si>
    <t xml:space="preserve">Peau d'écorce</t>
  </si>
  <si>
    <t xml:space="preserve">Barkskin</t>
  </si>
  <si>
    <t xml:space="preserve">transmutation; defense</t>
  </si>
  <si>
    <t xml:space="preserve">Bonus d'altération à l'armure naturelle : +2, +1 par 3 niveaux au-delà du 3e (max +5).</t>
  </si>
  <si>
    <t xml:space="preserve">Fiche : 20 = 5 × 4 avec Superspell, cohérent.</t>
  </si>
  <si>
    <t xml:space="preserve">spell.protection_from_evil</t>
  </si>
  <si>
    <t xml:space="preserve">Protection contre le Mal</t>
  </si>
  <si>
    <t xml:space="preserve">Protection from Evil</t>
  </si>
  <si>
    <t xml:space="preserve">abjuration; defense</t>
  </si>
  <si>
    <t xml:space="preserve">+2 de parade à la CA et +2 de résistance aux sauvegardes contre les créatures maléfiques.</t>
  </si>
  <si>
    <t xml:space="preserve">SRD (+2), fourni par l'Armure céleste.</t>
  </si>
  <si>
    <t xml:space="preserve">spell.force_of_colossus</t>
  </si>
  <si>
    <t xml:space="preserve">Force du colosse</t>
  </si>
  <si>
    <t xml:space="preserve">Force of the Colossus</t>
  </si>
  <si>
    <t xml:space="preserve">to confirm (Spell Compendium ?)</t>
  </si>
  <si>
    <t xml:space="preserve">buff; strength</t>
  </si>
  <si>
    <t xml:space="preserve">Bonus de taille (+8 Force, +4 Constitution) ; l'arme passe à la taille G (épée à deux mains : 3d6). Règle de table : se cumule avec Taille de géant, et Danalieth le lance avec Empower (12 et 6).</t>
  </si>
  <si>
    <t xml:space="preserve">Accord du MJ.</t>
  </si>
  <si>
    <t xml:space="preserve">spell.force_of_nature</t>
  </si>
  <si>
    <t xml:space="preserve">Force de la nature</t>
  </si>
  <si>
    <t xml:space="preserve">Force of Nature</t>
  </si>
  <si>
    <t xml:space="preserve">buff</t>
  </si>
  <si>
    <t xml:space="preserve">+4 en Force, Dextérité et Constitution (16 avec Superspell).</t>
  </si>
  <si>
    <t xml:space="preserve">Officiel. Valeurs de base déduites de la fiche (÷ 4).</t>
  </si>
  <si>
    <t xml:space="preserve">spell.giant_size</t>
  </si>
  <si>
    <t xml:space="preserve">Taille de géant</t>
  </si>
  <si>
    <t xml:space="preserve">Giant Size</t>
  </si>
  <si>
    <t xml:space="preserve">buff; size</t>
  </si>
  <si>
    <t xml:space="preserve">Taille C (colossale) : bonus de taille correspondants, +32 en Force et +16 en Constitution. Règle de table : au niveau épique, le personnage gagne les attributs colossaux sans changer réellement de taille.</t>
  </si>
  <si>
    <t xml:space="preserve">Accord du MJ. Pas de Superspell sur ce sort.</t>
  </si>
  <si>
    <t xml:space="preserve">spell.moonbow</t>
  </si>
  <si>
    <t xml:space="preserve">Moonbow</t>
  </si>
  <si>
    <t xml:space="preserve">evocation; electricity; damage; rays</t>
  </si>
  <si>
    <t xml:space="preserve">Évocation 9 : trois rayons de 20d6 dégâts d'électricité.</t>
  </si>
  <si>
    <t xml:space="preserve">Liste de sorts (magicien/ensorceleur 9 ?) dans Relations.</t>
  </si>
  <si>
    <t xml:space="preserve">spell.meteorite</t>
  </si>
  <si>
    <t xml:space="preserve">Météorite</t>
  </si>
  <si>
    <t xml:space="preserve">Meteorite</t>
  </si>
  <si>
    <t xml:space="preserve">evocation; fire; bludgeoning; damage; area</t>
  </si>
  <si>
    <t xml:space="preserve">Évocation 9 : 15 × 8d6 dégâts, moitié contondants, moitié feu, dans un rayon de 12 m. Pas de jet de sauvegarde.</t>
  </si>
  <si>
    <t xml:space="preserve">spell.heal_single</t>
  </si>
  <si>
    <t xml:space="preserve">Soin monocible (nom provisoire)</t>
  </si>
  <si>
    <t xml:space="preserve">Single-target heal (working name)</t>
  </si>
  <si>
    <t xml:space="preserve">conjuration; healing</t>
  </si>
  <si>
    <t xml:space="preserve">Invocation (guérison), comparable à Guérison suprême de groupe mais sur une seule cible : 15 PV par niveau de lanceur, maximum 375.</t>
  </si>
  <si>
    <t xml:space="preserve">Nom définitif et niveau du sort ?</t>
  </si>
  <si>
    <t xml:space="preserve">spell.heal_over_time</t>
  </si>
  <si>
    <t xml:space="preserve">Soin sur la durée</t>
  </si>
  <si>
    <t xml:space="preserve">Heal over time</t>
  </si>
  <si>
    <t xml:space="preserve">Rend 40 PV par round pendant 1 round par niveau, maximum 30 rounds.</t>
  </si>
  <si>
    <t xml:space="preserve">Nom, école et niveau du sort ?</t>
  </si>
  <si>
    <t xml:space="preserve">item.blade_of_destruction</t>
  </si>
  <si>
    <t xml:space="preserve">item</t>
  </si>
  <si>
    <t xml:space="preserve">Lame de destruction</t>
  </si>
  <si>
    <t xml:space="preserve">Blade of Destruction</t>
  </si>
  <si>
    <t xml:space="preserve">weapon; critical</t>
  </si>
  <si>
    <t xml:space="preserve">Arme +12 (épée à deux mains), critique 13-20 (base 19-20, +3 de l'arme, +3 du vampire), ×8 (×2 contre les immunisés). Sur un critique, on peut renoncer au multiplicateur pour : indomptabilité, lien de sang, ou Vigueur DD 10+2 par utilisation et −2 Constitution, critique automatique pendant 1 attaque.</t>
  </si>
  <si>
    <t xml:space="preserve">13-20 confirmé (14-20 sur la fiche était une erreur).</t>
  </si>
  <si>
    <t xml:space="preserve">item.celestial_armor</t>
  </si>
  <si>
    <t xml:space="preserve">Armure céleste</t>
  </si>
  <si>
    <t xml:space="preserve">Celestial Armor</t>
  </si>
  <si>
    <t xml:space="preserve">armor</t>
  </si>
  <si>
    <t xml:space="preserve">Harnois +12 (20 en CA), Dextérité max 10, vol, immunité à la coercition.</t>
  </si>
  <si>
    <t xml:space="preserve">item.cloak_of_resistance_12</t>
  </si>
  <si>
    <t xml:space="preserve">Cape de résistance +12</t>
  </si>
  <si>
    <t xml:space="preserve">Cloak of Resistance +12</t>
  </si>
  <si>
    <t xml:space="preserve">SRD (épique)</t>
  </si>
  <si>
    <t xml:space="preserve">cloak; saves</t>
  </si>
  <si>
    <t xml:space="preserve">+12 de résistance à tous les jets de sauvegarde.</t>
  </si>
  <si>
    <t xml:space="preserve">item.trinket_vampirism</t>
  </si>
  <si>
    <t xml:space="preserve">Breloque de vampirisme</t>
  </si>
  <si>
    <t xml:space="preserve">Vampirism trinket</t>
  </si>
  <si>
    <t xml:space="preserve">trinket; healing</t>
  </si>
  <si>
    <t xml:space="preserve">Soigne de la moitié des dégâts infligés, maximum la moitié des PV du personnage. Temps de recharge : 1d4−1.</t>
  </si>
  <si>
    <t xml:space="preserve">item.trinket_critical</t>
  </si>
  <si>
    <t xml:space="preserve">Breloque critique</t>
  </si>
  <si>
    <t xml:space="preserve">Critical trinket</t>
  </si>
  <si>
    <t xml:space="preserve">trinket; critical</t>
  </si>
  <si>
    <t xml:space="preserve">−4 sur le dé de critique (zone de critique +4) et +4 au multiplicateur de critique. Temps de recharge : 1d4+1.</t>
  </si>
  <si>
    <t xml:space="preserve">spell.divine_power</t>
  </si>
  <si>
    <t xml:space="preserve">Puissance divine</t>
  </si>
  <si>
    <t xml:space="preserve">Divine Power</t>
  </si>
  <si>
    <t xml:space="preserve">SRD + Équipe</t>
  </si>
  <si>
    <t xml:space="preserve">evocation; buff; attack</t>
  </si>
  <si>
    <t xml:space="preserve">Règle maison : le BBA devient égal au niveau de personnage jusqu'au niveau 20, puis +0,75 par niveau au-delà (49 au niveau 59). +6 d'altération en Force (ne se cumule pas avec Force du taureau) et 1 PV temporaire par niveau.</t>
  </si>
  <si>
    <t xml:space="preserve">spell.spell_resistance</t>
  </si>
  <si>
    <t xml:space="preserve">Résistance à la magie</t>
  </si>
  <si>
    <t xml:space="preserve">Spell Resistance</t>
  </si>
  <si>
    <t xml:space="preserve">RM égale à 12 + niveau de lanceur (72 avec niveau de lanceur 60).</t>
  </si>
  <si>
    <t xml:space="preserve">power.warblade_uncanny_dodge</t>
  </si>
  <si>
    <t xml:space="preserve">Esquive instinctive</t>
  </si>
  <si>
    <t xml:space="preserve">Uncanny Dodge</t>
  </si>
  <si>
    <t xml:space="preserve">warblade; defense</t>
  </si>
  <si>
    <t xml:space="preserve">Ne peut pas être pris au dépourvu.</t>
  </si>
  <si>
    <t xml:space="preserve">« Unflooded » sur la fiche.</t>
  </si>
  <si>
    <t xml:space="preserve">power.ultimate_magus_augmented_casting_superior</t>
  </si>
  <si>
    <t xml:space="preserve">Incantation augmentée supérieure</t>
  </si>
  <si>
    <t xml:space="preserve">Augmented Casting, Superior</t>
  </si>
  <si>
    <t xml:space="preserve">ultimate magus; spells</t>
  </si>
  <si>
    <t xml:space="preserve">Comme Incantation augmentée, sans limite d'utilisation. Le sort sacrifié peut être remplacé par 2 sorts du niveau inférieur, 4 de deux niveaux en dessous ou 8 de trois niveaux en dessous ; les sacrifices se combinent (8 sorts du niveau 1 valent un sort du niveau 4).</t>
  </si>
  <si>
    <t xml:space="preserve">race.danalieth</t>
  </si>
  <si>
    <t xml:space="preserve">race</t>
  </si>
  <si>
    <t xml:space="preserve">Race personnalisée</t>
  </si>
  <si>
    <t xml:space="preserve">Custom race</t>
  </si>
  <si>
    <t xml:space="preserve">+2 Intelligence, −2 Charisme.</t>
  </si>
  <si>
    <t xml:space="preserve">Nom de la race à compléter.</t>
  </si>
  <si>
    <t xml:space="preserve">item.tomes</t>
  </si>
  <si>
    <t xml:space="preserve">Tomes (+5)</t>
  </si>
  <si>
    <t xml:space="preserve">tome; inherent</t>
  </si>
  <si>
    <t xml:space="preserve">+5 inhérent en Force, Constitution, Intelligence et Charisme.</t>
  </si>
  <si>
    <t xml:space="preserve">Regroupés ; un tome par caractéristique dans le catalogue final.</t>
  </si>
  <si>
    <t xml:space="preserve">item.ioun_stones</t>
  </si>
  <si>
    <t xml:space="preserve">Pierres ioun</t>
  </si>
  <si>
    <t xml:space="preserve">Ioun stones</t>
  </si>
  <si>
    <t xml:space="preserve">ioun</t>
  </si>
  <si>
    <t xml:space="preserve">Pierres ioun standard. Règle de table : leur bonus d'altération se cumule avec l'altération normale, il devient donc son propre type (ioun).</t>
  </si>
  <si>
    <t xml:space="preserve">power.ultimate_magus_arcane_spell_power</t>
  </si>
  <si>
    <t xml:space="preserve">Puissance des sorts profanes</t>
  </si>
  <si>
    <t xml:space="preserve">Arcane Spell Power</t>
  </si>
  <si>
    <t xml:space="preserve">ultimate magus; caster level</t>
  </si>
  <si>
    <t xml:space="preserve">+1 au niveau de lanceur de tous les sorts profanes au niveau 1, puis +1 aux niveaux 4, 7 et 10 (+4). Extension de l'équipe : +5, +6, +7, +8 aux niveaux 12, 15, 18 et 20.</t>
  </si>
  <si>
    <t xml:space="preserve">power.ultimate_magus_augmented_casting</t>
  </si>
  <si>
    <t xml:space="preserve">Incantation augmentée</t>
  </si>
  <si>
    <t xml:space="preserve">Augmented Casting</t>
  </si>
  <si>
    <t xml:space="preserve">3 + floor(level('class.ultimate_magus') / 2)</t>
  </si>
  <si>
    <t xml:space="preserve">Dès le niveau 3 : sacrifier un sort ou un emplacement d'une classe pour appliquer un don de métamagie connu à un sort d'une autre classe profane. Niveau du sort augmenté ≤ ½ niveau de classe ; niveau de l'emplacement sacrifié ≥ ajustement du don ; impossible sur un sort déjà modifié par la métamagie.</t>
  </si>
  <si>
    <t xml:space="preserve">Remplacé par la version supérieure au niveau 20 (sans limite).</t>
  </si>
  <si>
    <t xml:space="preserve">power.ultimate_magus_expanded_knowledge</t>
  </si>
  <si>
    <t xml:space="preserve">Connaissance des sorts étendue</t>
  </si>
  <si>
    <t xml:space="preserve">Expanded Spell Knowledge</t>
  </si>
  <si>
    <t xml:space="preserve">Aux niveaux 2, 4, 6, 8 et 10 : ajoute un sort du grimoire aux sorts connus d'une classe spontanée, même d'un niveau qu'elle ne peut pas encore lancer (niveau maximal : 1, 2, 3, 4 puis 5).</t>
  </si>
  <si>
    <t xml:space="preserve">power.ultimate_magus_bonus_feat</t>
  </si>
  <si>
    <t xml:space="preserve">Don supplémentaire (métamagie)</t>
  </si>
  <si>
    <t xml:space="preserve">Bonus Feat (metamagic)</t>
  </si>
  <si>
    <t xml:space="preserve">ultimate magus; metamagic</t>
  </si>
  <si>
    <t xml:space="preserve">Un don de métamagie supplémentaire dont le personnage remplit les conditions (niveaux 5 et 9 ; 13, 16 et 19 avec l'extension).</t>
  </si>
  <si>
    <t xml:space="preserve">power.vt_will_of_death_saves</t>
  </si>
  <si>
    <t xml:space="preserve">Résistance de l'émissaire</t>
  </si>
  <si>
    <t xml:space="preserve">Emissary's resilience</t>
  </si>
  <si>
    <t xml:space="preserve">death; saves</t>
  </si>
  <si>
    <t xml:space="preserve">Bonus aux trois jets de sauvegarde, ajouté pour retrouver les valeurs jouées à la table.</t>
  </si>
  <si>
    <t xml:space="preserve">Corrige l'ancienne erreur de calcul : 1,5 (règle épique) + 3,5 = 5 pour 3 niveaux.</t>
  </si>
  <si>
    <t xml:space="preserve">power.sv_warding</t>
  </si>
  <si>
    <t xml:space="preserve">Warding</t>
  </si>
  <si>
    <t xml:space="preserve">sevenfold veil; defense</t>
  </si>
  <si>
    <t xml:space="preserve">floor((level('class.sevenfold_veil') + 1) / 2)</t>
  </si>
  <si>
    <t xml:space="preserve">Crée une barrière portant un voile connu : personnelle (1 min/niveau), de zone (1 min/niveau) ou mur (10 min/niveau). DD 18 + modificateur de la caractéristique de lanceur ; niveau de lanceur profane. 1/jour, puis 2, 3 et 4/jour aux niveaux 3, 5 et 7.</t>
  </si>
  <si>
    <t xml:space="preserve">Les « wards » de la fiche.</t>
  </si>
  <si>
    <t xml:space="preserve">power.sv_veil_red</t>
  </si>
  <si>
    <t xml:space="preserve">Voile rouge</t>
  </si>
  <si>
    <t xml:space="preserve">Red veil</t>
  </si>
  <si>
    <t xml:space="preserve">sevenfold veil; veil</t>
  </si>
  <si>
    <t xml:space="preserve">Bloque les attaques à distance non magiques. Le traverser inflige 20 dégâts de feu (Réflexes ½). Détruit par cône de froid. Obtenu au niveau 1.</t>
  </si>
  <si>
    <t xml:space="preserve">power.sv_veil_orange</t>
  </si>
  <si>
    <t xml:space="preserve">Voile orange</t>
  </si>
  <si>
    <t xml:space="preserve">Orange veil</t>
  </si>
  <si>
    <t xml:space="preserve">Bloque les attaques à distance magiques (rayons, projectiles). Le traverser inflige 40 dégâts d'acide (Réflexes ½). Détruit par bourrasque. Obtenu au niveau 2.</t>
  </si>
  <si>
    <t xml:space="preserve">power.sv_veil_yellow</t>
  </si>
  <si>
    <t xml:space="preserve">Voile jaune</t>
  </si>
  <si>
    <t xml:space="preserve">Yellow veil</t>
  </si>
  <si>
    <t xml:space="preserve">Bloque gaz, nuages et pétrification ; immunité au poison venu de l'extérieur. Le traverser inflige 80 dégâts d'électricité (Réflexes ½). Détruit par désintégration. Obtenu au niveau 3.</t>
  </si>
  <si>
    <t xml:space="preserve">power.sv_veil_green</t>
  </si>
  <si>
    <t xml:space="preserve">Voile vert</t>
  </si>
  <si>
    <t xml:space="preserve">Green veil</t>
  </si>
  <si>
    <t xml:space="preserve">Bloque les souffles. Le traverser : Vigueur ou mort (réussite : 1d6 Constitution) ; effet de poison. Détruit par passe-muraille. Obtenu au niveau 4.</t>
  </si>
  <si>
    <t xml:space="preserve">power.sv_veil_blue</t>
  </si>
  <si>
    <t xml:space="preserve">Voile bleu</t>
  </si>
  <si>
    <t xml:space="preserve">Blue veil</t>
  </si>
  <si>
    <t xml:space="preserve">Bloque divinations et effets mentaux. Le traverser : Vigueur ou pétrification. Détruit par projectile magique. Obtenu au niveau 5.</t>
  </si>
  <si>
    <t xml:space="preserve">power.sv_veil_indigo</t>
  </si>
  <si>
    <t xml:space="preserve">Voile indigo</t>
  </si>
  <si>
    <t xml:space="preserve">Indigo veil</t>
  </si>
  <si>
    <t xml:space="preserve">Bloque sorts et pouvoirs magiques. Le traverser : Volonté ou confusion (comme aliénation mentale). Annulé par lumière du jour. Obtenu au niveau 6.</t>
  </si>
  <si>
    <t xml:space="preserve">power.sv_veil_violet</t>
  </si>
  <si>
    <t xml:space="preserve">Voile violet</t>
  </si>
  <si>
    <t xml:space="preserve">Violet veil</t>
  </si>
  <si>
    <t xml:space="preserve">Désintègre objets et effets qui le traversent ; créatures : Volonté ou changement de plan aléatoire. Détruit par dissipation de la magie. Obtenu au niveau 7.</t>
  </si>
  <si>
    <t xml:space="preserve">power.sv_unimpeachable_abjuration</t>
  </si>
  <si>
    <t xml:space="preserve">Abjuration inébranlable</t>
  </si>
  <si>
    <t xml:space="preserve">Unimpeachable Abjuration</t>
  </si>
  <si>
    <t xml:space="preserve">sevenfold veil; dispel</t>
  </si>
  <si>
    <t xml:space="preserve">Ajoute le niveau de classe au DD pour dissiper ses abjurations.</t>
  </si>
  <si>
    <t xml:space="preserve">Fiche : « DD dissipation +7 ».</t>
  </si>
  <si>
    <t xml:space="preserve">power.sv_unanswerable_strike</t>
  </si>
  <si>
    <t xml:space="preserve">Frappe imparable</t>
  </si>
  <si>
    <t xml:space="preserve">Unanswerable Strike</t>
  </si>
  <si>
    <t xml:space="preserve">+2 aux tests de niveau de lanceur pour contrer ou dissiper les abjurations (+4 au niveau 6).</t>
  </si>
  <si>
    <t xml:space="preserve">Fiche : « DD pour dissiper −4 ».</t>
  </si>
  <si>
    <t xml:space="preserve">power.sv_reactive_warding</t>
  </si>
  <si>
    <t xml:space="preserve">Protection réactive</t>
  </si>
  <si>
    <t xml:space="preserve">Reactive Warding</t>
  </si>
  <si>
    <t xml:space="preserve">Lève une protection par action immédiate pendant l'action d'un adversaire.</t>
  </si>
  <si>
    <t xml:space="preserve">power.sv_double_warding</t>
  </si>
  <si>
    <t xml:space="preserve">Double protection</t>
  </si>
  <si>
    <t xml:space="preserve">Double Warding</t>
  </si>
  <si>
    <t xml:space="preserve">Deux voiles pour une seule utilisation ; le moins puissant est à l'extérieur.</t>
  </si>
  <si>
    <t xml:space="preserve">power.sv_kaleidoscopic_doom</t>
  </si>
  <si>
    <t xml:space="preserve">Fatalité kaléidoscopique</t>
  </si>
  <si>
    <t xml:space="preserve">Kaleidoscopic Doom</t>
  </si>
  <si>
    <t xml:space="preserve">1</t>
  </si>
  <si>
    <t xml:space="preserve">Action simple, une créature à 18 m : dissipation suprême ciblée ; pour chaque sort dissipé, un voile (du rouge vers le violet) l'affecte comme si elle l'avait traversé. Équivaut à un sort du 9e niveau.</t>
  </si>
  <si>
    <t xml:space="preserve">bonus_type.ioun</t>
  </si>
  <si>
    <t xml:space="preserve">bonus_type</t>
  </si>
  <si>
    <t xml:space="preserve">Ioun</t>
  </si>
  <si>
    <t xml:space="preserve">bonus type</t>
  </si>
  <si>
    <t xml:space="preserve">Type des bonus des pierres ioun. Se cumule avec l'altération ; deux bonus ioun sur la même valeur ne se cumulent pas.</t>
  </si>
  <si>
    <t xml:space="preserve">stacks = false</t>
  </si>
  <si>
    <t xml:space="preserve">bonus_type.template</t>
  </si>
  <si>
    <t xml:space="preserve">Archétype</t>
  </si>
  <si>
    <t xml:space="preserve">Template</t>
  </si>
  <si>
    <t xml:space="preserve">Bonus de caractéristiques des archétypes (Démon, Vampire, Dragon). Se cumulent entre eux.</t>
  </si>
  <si>
    <t xml:space="preserve">stacks = true ; sinon Int 2 + 4 + 2 ne s'additionneraient pas</t>
  </si>
  <si>
    <t xml:space="preserve">entity_id</t>
  </si>
  <si>
    <t xml:space="preserve">target</t>
  </si>
  <si>
    <t xml:space="preserve">op</t>
  </si>
  <si>
    <t xml:space="preserve">value</t>
  </si>
  <si>
    <t xml:space="preserve">mult_mode</t>
  </si>
  <si>
    <t xml:space="preserve">layer</t>
  </si>
  <si>
    <t xml:space="preserve">condition</t>
  </si>
  <si>
    <t xml:space="preserve">scope</t>
  </si>
  <si>
    <t xml:space="preserve">notes</t>
  </si>
  <si>
    <t xml:space="preserve">ability.str.score</t>
  </si>
  <si>
    <t xml:space="preserve">add</t>
  </si>
  <si>
    <t xml:space="preserve">4</t>
  </si>
  <si>
    <t xml:space="preserve">morale</t>
  </si>
  <si>
    <t xml:space="preserve">active('toggle.rage')</t>
  </si>
  <si>
    <t xml:space="preserve">character</t>
  </si>
  <si>
    <t xml:space="preserve">dc.school[abjuration]</t>
  </si>
  <si>
    <t xml:space="preserve">untyped</t>
  </si>
  <si>
    <t xml:space="preserve">skill.spellcraft</t>
  </si>
  <si>
    <t xml:space="preserve">3</t>
  </si>
  <si>
    <t xml:space="preserve">2</t>
  </si>
  <si>
    <t xml:space="preserve">attack.melee</t>
  </si>
  <si>
    <t xml:space="preserve">-@toggle.power_attack.value</t>
  </si>
  <si>
    <t xml:space="preserve">active('toggle.power_attack')</t>
  </si>
  <si>
    <t xml:space="preserve">Valeur choisie en début de tour</t>
  </si>
  <si>
    <t xml:space="preserve">damage.melee</t>
  </si>
  <si>
    <t xml:space="preserve">@toggle.power_attack.value * 2</t>
  </si>
  <si>
    <t xml:space="preserve">×2 à deux mains</t>
  </si>
  <si>
    <t xml:space="preserve">-@toggle.combat_expertise.value</t>
  </si>
  <si>
    <t xml:space="preserve">active('toggle.combat_expertise')</t>
  </si>
  <si>
    <t xml:space="preserve">Valeur choisie en début de tour, max 5</t>
  </si>
  <si>
    <t xml:space="preserve">ac.total</t>
  </si>
  <si>
    <t xml:space="preserve">@toggle.combat_expertise.value</t>
  </si>
  <si>
    <t xml:space="preserve">dodge</t>
  </si>
  <si>
    <t xml:space="preserve">spell.damage</t>
  </si>
  <si>
    <t xml:space="preserve">multiply</t>
  </si>
  <si>
    <t xml:space="preserve">1.5</t>
  </si>
  <si>
    <t xml:space="preserve">exclusive: metamagic_amplify</t>
  </si>
  <si>
    <t xml:space="preserve">Seul le plus fort du groupe s'applique</t>
  </si>
  <si>
    <t xml:space="preserve">spell.slot_cost</t>
  </si>
  <si>
    <t xml:space="preserve">spell.action</t>
  </si>
  <si>
    <t xml:space="preserve">set</t>
  </si>
  <si>
    <t xml:space="preserve">swift</t>
  </si>
  <si>
    <t xml:space="preserve">final</t>
  </si>
  <si>
    <t xml:space="preserve">spell.duration</t>
  </si>
  <si>
    <t xml:space="preserve">multiplicative</t>
  </si>
  <si>
    <t xml:space="preserve">24h</t>
  </si>
  <si>
    <t xml:space="preserve">6</t>
  </si>
  <si>
    <t xml:space="preserve">spell.numeric</t>
  </si>
  <si>
    <t xml:space="preserve">9</t>
  </si>
  <si>
    <t xml:space="preserve">spell.slot_cost_per_modifier</t>
  </si>
  <si>
    <t xml:space="preserve">-1</t>
  </si>
  <si>
    <t xml:space="preserve">Minimum +1 par modificateur</t>
  </si>
  <si>
    <t xml:space="preserve">slots.above_max</t>
  </si>
  <si>
    <t xml:space="preserve">Un emplacement au-dessus du maximum, par prise (×12)</t>
  </si>
  <si>
    <t xml:space="preserve">save.ref</t>
  </si>
  <si>
    <t xml:space="preserve">@ability.int.mod</t>
  </si>
  <si>
    <t xml:space="preserve">Plafond ?</t>
  </si>
  <si>
    <t xml:space="preserve">check.opposed</t>
  </si>
  <si>
    <t xml:space="preserve">spell.range</t>
  </si>
  <si>
    <t xml:space="preserve">9 m</t>
  </si>
  <si>
    <t xml:space="preserve">spell.range == 'touch'</t>
  </si>
  <si>
    <t xml:space="preserve">caster_level.arcane</t>
  </si>
  <si>
    <t xml:space="preserve">7</t>
  </si>
  <si>
    <t xml:space="preserve">hp.max</t>
  </si>
  <si>
    <t xml:space="preserve">if(level('class.vt_grip_of_death') &gt;= 7, 2000, if(level('class.vt_grip_of_death') &gt;= 4, 1000, 500))</t>
  </si>
  <si>
    <t xml:space="preserve">Paliers niveau 1 / 4 / 7 de la classe</t>
  </si>
  <si>
    <t xml:space="preserve">hp.regeneration</t>
  </si>
  <si>
    <t xml:space="preserve">floor(@hp.max * if(level('class.vt_grip_of_death') &gt;= 8, 15, if(level('class.vt_grip_of_death') &gt;= 5, 10, 5)) / 100)</t>
  </si>
  <si>
    <t xml:space="preserve">active('toggle.vt_grip_of_death')</t>
  </si>
  <si>
    <t xml:space="preserve">aura.damage_redirect_pct</t>
  </si>
  <si>
    <t xml:space="preserve">if(level('class.vt_grip_of_death') &gt;= 10, 15, if(level('class.vt_grip_of_death') &gt;= 6, 10, 5))</t>
  </si>
  <si>
    <t xml:space="preserve">Cumulatif avec d'autres effets</t>
  </si>
  <si>
    <t xml:space="preserve">if(level('class.vt_will_of_death') &gt;= 7, 20, if(level('class.vt_will_of_death') &gt;= 4, 10, 5))</t>
  </si>
  <si>
    <t xml:space="preserve">Remplacement : 5, puis 10, puis 20</t>
  </si>
  <si>
    <t xml:space="preserve">if(level('class.vt_will_of_death') &gt;= 10, 15, if(level('class.vt_will_of_death') &gt;= 5, 6, 3))</t>
  </si>
  <si>
    <t xml:space="preserve">Remplacement : 3, puis 6, puis 15</t>
  </si>
  <si>
    <t xml:space="preserve">spell.caster_level_vs_sr</t>
  </si>
  <si>
    <t xml:space="preserve">10</t>
  </si>
  <si>
    <t xml:space="preserve">spell.dc</t>
  </si>
  <si>
    <t xml:space="preserve">spell.healing</t>
  </si>
  <si>
    <t xml:space="preserve">spell.area</t>
  </si>
  <si>
    <t xml:space="preserve">speed.fly</t>
  </si>
  <si>
    <t xml:space="preserve">180 m</t>
  </si>
  <si>
    <t xml:space="preserve">active('toggle.bat_form')</t>
  </si>
  <si>
    <t xml:space="preserve">weapon.threat_range</t>
  </si>
  <si>
    <t xml:space="preserve">Fiche : « 3 vampire »</t>
  </si>
  <si>
    <t xml:space="preserve">enhancement</t>
  </si>
  <si>
    <t xml:space="preserve">active('toggle.bulls_strength')</t>
  </si>
  <si>
    <t xml:space="preserve">×4 avec Superspell = 16</t>
  </si>
  <si>
    <t xml:space="preserve">ability.con.score</t>
  </si>
  <si>
    <t xml:space="preserve">active('toggle.bears_endurance')</t>
  </si>
  <si>
    <t xml:space="preserve">ability.int.score</t>
  </si>
  <si>
    <t xml:space="preserve">active('toggle.foxs_cunning')</t>
  </si>
  <si>
    <t xml:space="preserve">attack.all</t>
  </si>
  <si>
    <t xml:space="preserve">max(min(floor(@caster_level / 3), 6), 1)</t>
  </si>
  <si>
    <t xml:space="preserve">luck</t>
  </si>
  <si>
    <t xml:space="preserve">active('toggle.divine_favor')</t>
  </si>
  <si>
    <t xml:space="preserve">×4 avec Superspell = 24</t>
  </si>
  <si>
    <t xml:space="preserve">damage.all</t>
  </si>
  <si>
    <t xml:space="preserve">ac.natural</t>
  </si>
  <si>
    <t xml:space="preserve">min(2 + floor(max(@caster_level - 3, 0) / 3), 5)</t>
  </si>
  <si>
    <t xml:space="preserve">active('toggle.barkskin')</t>
  </si>
  <si>
    <t xml:space="preserve">deflection</t>
  </si>
  <si>
    <t xml:space="preserve">active('toggle.protection_from_evil')</t>
  </si>
  <si>
    <t xml:space="preserve">SRD ; fourni par l'Armure céleste</t>
  </si>
  <si>
    <t xml:space="preserve">save.all</t>
  </si>
  <si>
    <t xml:space="preserve">resistance</t>
  </si>
  <si>
    <t xml:space="preserve">vs evil</t>
  </si>
  <si>
    <t xml:space="preserve">Situationnel</t>
  </si>
  <si>
    <t xml:space="preserve">dice</t>
  </si>
  <si>
    <t xml:space="preserve">3 × 20d6 electricity</t>
  </si>
  <si>
    <t xml:space="preserve">Trois rayons</t>
  </si>
  <si>
    <t xml:space="preserve">15 × 8d6 (½ bludgeoning, ½ fire)</t>
  </si>
  <si>
    <t xml:space="preserve">Rayon 12 m, pas de sauvegarde</t>
  </si>
  <si>
    <t xml:space="preserve">min(15 * @caster_level, 375)</t>
  </si>
  <si>
    <t xml:space="preserve">spell.healing_per_round</t>
  </si>
  <si>
    <t xml:space="preserve">40</t>
  </si>
  <si>
    <t xml:space="preserve">weapon.attack</t>
  </si>
  <si>
    <t xml:space="preserve">12</t>
  </si>
  <si>
    <t xml:space="preserve">weapon.damage</t>
  </si>
  <si>
    <t xml:space="preserve">19-20 de base, +3 arme, +3 vampire = 13-20</t>
  </si>
  <si>
    <t xml:space="preserve">weapon.crit_multiplier</t>
  </si>
  <si>
    <t xml:space="preserve">8</t>
  </si>
  <si>
    <t xml:space="preserve">base</t>
  </si>
  <si>
    <t xml:space="preserve">ac.armor</t>
  </si>
  <si>
    <t xml:space="preserve">20</t>
  </si>
  <si>
    <t xml:space="preserve">Harnois 8 + 12</t>
  </si>
  <si>
    <t xml:space="preserve">ac.dex_bonus</t>
  </si>
  <si>
    <t xml:space="preserve">max</t>
  </si>
  <si>
    <t xml:space="preserve">Par prise ; ce don ne peut pas faire dépasser le niveau de personnage</t>
  </si>
  <si>
    <t xml:space="preserve">Par niveau qui l'accorde (1, 3, 5, 8, 10)</t>
  </si>
  <si>
    <t xml:space="preserve">bab</t>
  </si>
  <si>
    <t xml:space="preserve">if(level() &lt;= 20, level(), 20 + floor(0.75 * (level() - 20)))</t>
  </si>
  <si>
    <t xml:space="preserve">active('toggle.divine_power')</t>
  </si>
  <si>
    <t xml:space="preserve">Règle maison ; 49 au niveau 59</t>
  </si>
  <si>
    <t xml:space="preserve">spell_resistance</t>
  </si>
  <si>
    <t xml:space="preserve">12 + @caster_level.arcane</t>
  </si>
  <si>
    <t xml:space="preserve">active('toggle.spell_resistance')</t>
  </si>
  <si>
    <t xml:space="preserve">72 avec niveau de lanceur 60</t>
  </si>
  <si>
    <t xml:space="preserve">active('toggle.force_of_nature')</t>
  </si>
  <si>
    <t xml:space="preserve">16 avec Superspell</t>
  </si>
  <si>
    <t xml:space="preserve">ability.dex.score</t>
  </si>
  <si>
    <t xml:space="preserve">32</t>
  </si>
  <si>
    <t xml:space="preserve">size</t>
  </si>
  <si>
    <t xml:space="preserve">active('toggle.giant_size')</t>
  </si>
  <si>
    <t xml:space="preserve">Taille C ; pas de Superspell</t>
  </si>
  <si>
    <t xml:space="preserve">16</t>
  </si>
  <si>
    <t xml:space="preserve">active('toggle.force_of_colossus')</t>
  </si>
  <si>
    <t xml:space="preserve">Bonus de taille, cumulé avec Taille de géant par accord du MJ ; 12 avec Empower</t>
  </si>
  <si>
    <t xml:space="preserve">Idem ; 6 avec Empower</t>
  </si>
  <si>
    <t xml:space="preserve">ability.cha.score</t>
  </si>
  <si>
    <t xml:space="preserve">ability.all.score</t>
  </si>
  <si>
    <t xml:space="preserve">Les six caractéristiques</t>
  </si>
  <si>
    <t xml:space="preserve">racial</t>
  </si>
  <si>
    <t xml:space="preserve">-2</t>
  </si>
  <si>
    <t xml:space="preserve">5</t>
  </si>
  <si>
    <t xml:space="preserve">inherent</t>
  </si>
  <si>
    <t xml:space="preserve">Type ioun : se cumule avec l'altération</t>
  </si>
  <si>
    <t xml:space="preserve">2d6</t>
  </si>
  <si>
    <t xml:space="preserve">Épée à deux mains</t>
  </si>
  <si>
    <t xml:space="preserve">Ne se cumule pas avec Force du taureau (+16)</t>
  </si>
  <si>
    <t xml:space="preserve">hp.temporary</t>
  </si>
  <si>
    <t xml:space="preserve">level()</t>
  </si>
  <si>
    <t xml:space="preserve">3d6</t>
  </si>
  <si>
    <t xml:space="preserve">Arme taille G ; moyenne 10 (« Arme 10 » sur la fiche)</t>
  </si>
  <si>
    <t xml:space="preserve">if(level('class.ultimate_magus') &gt;= 20, 8, if(level('class.ultimate_magus') &gt;= 18, 7, if(level('class.ultimate_magus') &gt;= 15, 6, if(level('class.ultimate_magus') &gt;= 12, 5, if(level('class.ultimate_magus') &gt;= 10, 4, if(level('class.ultimate_magus') &gt;= 7, 3, if(level('class.ultimate_magus') &gt;= 4, 2, 1)))))))</t>
  </si>
  <si>
    <t xml:space="preserve">Livre : 1, 4, 7, 10 ; équipe : 12, 15, 18, 20</t>
  </si>
  <si>
    <t xml:space="preserve">save.fort</t>
  </si>
  <si>
    <t xml:space="preserve">3.5</t>
  </si>
  <si>
    <t xml:space="preserve">Valeur fixe pour retrouver la fiche ; à revoir si la classe progresse</t>
  </si>
  <si>
    <t xml:space="preserve">save.will</t>
  </si>
  <si>
    <t xml:space="preserve">radius 12 m</t>
  </si>
  <si>
    <t xml:space="preserve">spell.save</t>
  </si>
  <si>
    <t xml:space="preserve">none</t>
  </si>
  <si>
    <t xml:space="preserve">min(@caster_level, 30) rounds</t>
  </si>
  <si>
    <t xml:space="preserve">dc.dispel_own_abjuration</t>
  </si>
  <si>
    <t xml:space="preserve">level('class.sevenfold_veil')</t>
  </si>
  <si>
    <t xml:space="preserve">+7 pour Danalieth</t>
  </si>
  <si>
    <t xml:space="preserve">check.dispel_abjuration</t>
  </si>
  <si>
    <t xml:space="preserve">if(level('class.sevenfold_veil') &gt;= 6, 4, 2)</t>
  </si>
  <si>
    <t xml:space="preserve">dc.warding</t>
  </si>
  <si>
    <t xml:space="preserve">18 + @casting_ability.mod</t>
  </si>
  <si>
    <t xml:space="preserve">Caractéristique principale de lanceur</t>
  </si>
  <si>
    <t xml:space="preserve">class_id</t>
  </si>
  <si>
    <t xml:space="preserve">level</t>
  </si>
  <si>
    <t xml:space="preserve">fort</t>
  </si>
  <si>
    <t xml:space="preserve">ref</t>
  </si>
  <si>
    <t xml:space="preserve">will</t>
  </si>
  <si>
    <t xml:space="preserve">grants</t>
  </si>
  <si>
    <t xml:space="preserve">+0.5</t>
  </si>
  <si>
    <t xml:space="preserve">power.vt_grip_of_death (1)</t>
  </si>
  <si>
    <t xml:space="preserve">Classe épique : +½ par niveau</t>
  </si>
  <si>
    <t xml:space="preserve">power.vt_beyond_grave_resilience (1)</t>
  </si>
  <si>
    <t xml:space="preserve">power.vt_master_of_death (1)</t>
  </si>
  <si>
    <t xml:space="preserve">power.vt_beyond_grave_resilience (2)</t>
  </si>
  <si>
    <t xml:space="preserve">power.vt_master_of_death (2)</t>
  </si>
  <si>
    <t xml:space="preserve">power.vt_grip_of_death (2)</t>
  </si>
  <si>
    <t xml:space="preserve">power.vt_beyond_grave_resilience (3)</t>
  </si>
  <si>
    <t xml:space="preserve">power.vt_master_of_death (3)</t>
  </si>
  <si>
    <t xml:space="preserve">bonus feat</t>
  </si>
  <si>
    <t xml:space="preserve">power.vt_grip_of_death (3)</t>
  </si>
  <si>
    <t xml:space="preserve">caster level 3; power.vt_epic_spell</t>
  </si>
  <si>
    <t xml:space="preserve">power.vt_arcane_secret_spellcraft (+5)</t>
  </si>
  <si>
    <t xml:space="preserve">power.vt_epic_spell; power.vt_mortis_incantatum</t>
  </si>
  <si>
    <t xml:space="preserve">power.vt_arcane_secret_spellcraft (+10)</t>
  </si>
  <si>
    <t xml:space="preserve">caster level 6 (replaces 3); power.vt_epic_spell</t>
  </si>
  <si>
    <t xml:space="preserve">power.vt_arcane_secret_spellcraft (+20)</t>
  </si>
  <si>
    <t xml:space="preserve">caster level 15 (replaces 6); power.vt_epic_spell; power.vt_infinitum_incantatum</t>
  </si>
  <si>
    <t xml:space="preserve">maneuvers; weapon aptitude</t>
  </si>
  <si>
    <t xml:space="preserve">Capacités d'après le livre, à vérifier</t>
  </si>
  <si>
    <t xml:space="preserve">power.warblade_battle_clarity; power.warblade_uncanny_dodge</t>
  </si>
  <si>
    <t xml:space="preserve">battle ardor</t>
  </si>
  <si>
    <t xml:space="preserve">bonus feat; improved uncanny dodge</t>
  </si>
  <si>
    <t xml:space="preserve">battle mastery</t>
  </si>
  <si>
    <t xml:space="preserve">rule.epic</t>
  </si>
  <si>
    <t xml:space="preserve">each level after 20</t>
  </si>
  <si>
    <t xml:space="preserve">Règle maison : BBA et sauvegardes +½ par niveau épique, additionnés en fractions, arrondis une fois</t>
  </si>
  <si>
    <t xml:space="preserve">Retrouvé sur la fiche : total 39 / 29 / 35 / 29</t>
  </si>
  <si>
    <t xml:space="preserve">rule.hit_points</t>
  </si>
  <si>
    <t xml:space="preserve">each level</t>
  </si>
  <si>
    <t xml:space="preserve">Points de vie par niveau = ¾ du dé de vie (d12 → 9, d4 → 3)</t>
  </si>
  <si>
    <t xml:space="preserve">Retrouvé sur la fiche : 297 PV de base</t>
  </si>
  <si>
    <t xml:space="preserve">rule.experience</t>
  </si>
  <si>
    <t xml:space="preserve">level n</t>
  </si>
  <si>
    <t xml:space="preserve">XP requis = n × (n − 1) / 2 × 1000</t>
  </si>
  <si>
    <t xml:space="preserve">1 718 250 XP → niveau 59</t>
  </si>
  <si>
    <t xml:space="preserve">power.ultimate_magus_arcane_spell_power (+1); spellcasting: +1 level of lowest-caster-level arcane class</t>
  </si>
  <si>
    <t xml:space="preserve">Table du livre. Pris après le niveau 20 de personnage : BBA et sauvegardes suivent la règle épique (+½).</t>
  </si>
  <si>
    <t xml:space="preserve">power.ultimate_magus_expanded_knowledge (1st); spellcasting: +1 prepared and +1 spontaneous</t>
  </si>
  <si>
    <t xml:space="preserve">power.ultimate_magus_augmented_casting; spellcasting: +1 prepared and +1 spontaneous</t>
  </si>
  <si>
    <t xml:space="preserve">arcane spell power +2; expanded knowledge (2nd); spellcasting: +1 level of lowest-caster-level arcane class</t>
  </si>
  <si>
    <t xml:space="preserve">power.ultimate_magus_bonus_feat; spellcasting: +1 prepared and +1 spontaneous</t>
  </si>
  <si>
    <t xml:space="preserve">expanded knowledge (3rd); spellcasting: +1 prepared and +1 spontaneous</t>
  </si>
  <si>
    <t xml:space="preserve">arcane spell power +3; spellcasting: +1 level of lowest-caster-level arcane class</t>
  </si>
  <si>
    <t xml:space="preserve">expanded knowledge (4th); spellcasting: +1 prepared and +1 spontaneous</t>
  </si>
  <si>
    <t xml:space="preserve">arcane spell power +4; expanded knowledge (5th); spellcasting: +1 prepared and +1 spontaneous</t>
  </si>
  <si>
    <t xml:space="preserve">spellcasting +1 (+1 = lowest-caster-level class, +1 / +1 = both)</t>
  </si>
  <si>
    <t xml:space="preserve">Extension de l'équipe. BBA et sauvegardes : règle épique (+½)</t>
  </si>
  <si>
    <t xml:space="preserve">arcane spell power +5; spellcasting +1 / +1 (+1 = lowest-caster-level class, +1 / +1 = both)</t>
  </si>
  <si>
    <t xml:space="preserve">power.ultimate_magus_bonus_feat; spellcasting +1 / +1 (+1 = lowest-caster-level class, +1 / +1 = both)</t>
  </si>
  <si>
    <t xml:space="preserve">arcane spell power +6; spellcasting +1 / +1 (+1 = lowest-caster-level class, +1 / +1 = both)</t>
  </si>
  <si>
    <t xml:space="preserve">arcane spell power +7; spellcasting +1 / +1 (+1 = lowest-caster-level class, +1 / +1 = both)</t>
  </si>
  <si>
    <t xml:space="preserve">arcane spell power +8; power.ultimate_magus_augmented_casting_superior; spellcasting +1 / +1 (+1 = lowest-caster-level class, +1 / +1 = both)</t>
  </si>
  <si>
    <t xml:space="preserve">power.sv_warding (1/day); power.sv_unimpeachable_abjuration; power.sv_veil_red; spellcasting +1 existing arcane class (chosen)</t>
  </si>
  <si>
    <t xml:space="preserve">Table du livre. Pris après le niveau 20 : règle épique (+½).</t>
  </si>
  <si>
    <t xml:space="preserve">power.sv_unanswerable_strike (+2); power.sv_veil_orange; spellcasting +1 existing arcane class (chosen)</t>
  </si>
  <si>
    <t xml:space="preserve">warding 2/day; power.sv_veil_yellow; spellcasting +1 existing arcane class (chosen)</t>
  </si>
  <si>
    <t xml:space="preserve">power.sv_reactive_warding; power.sv_veil_green; spellcasting +1 existing arcane class (chosen)</t>
  </si>
  <si>
    <t xml:space="preserve">warding 3/day; power.sv_veil_blue; spellcasting +1 existing arcane class (chosen)</t>
  </si>
  <si>
    <t xml:space="preserve">unanswerable strike +4; power.sv_double_warding; power.sv_veil_indigo; spellcasting +1 existing arcane class (chosen)</t>
  </si>
  <si>
    <t xml:space="preserve">power.sv_kaleidoscopic_doom; power.sv_veil_violet; warding 4/day; spellcasting +1 existing arcane class (chosen)</t>
  </si>
  <si>
    <t xml:space="preserve">from_id</t>
  </si>
  <si>
    <t xml:space="preserve">relation</t>
  </si>
  <si>
    <t xml:space="preserve">to_id</t>
  </si>
  <si>
    <t xml:space="preserve">Choix de haute arcane</t>
  </si>
  <si>
    <t xml:space="preserve">requires</t>
  </si>
  <si>
    <t xml:space="preserve">on_spell_list</t>
  </si>
  <si>
    <t xml:space="preserve">to confirm : sort de druide/rôdeur dans le SRD, pas de magicien</t>
  </si>
  <si>
    <t xml:space="preserve">to confirm : sort de prêtre/paladin dans le SRD</t>
  </si>
  <si>
    <t xml:space="preserve">Extension de l'équipe</t>
  </si>
  <si>
    <t xml:space="preserve">to confirm : sort de prêtre dans le SRD</t>
  </si>
  <si>
    <t xml:space="preserve">to confirm : liste supposée</t>
  </si>
  <si>
    <t xml:space="preserve">Ability</t>
  </si>
  <si>
    <t xml:space="preserve">Base</t>
  </si>
  <si>
    <t xml:space="preserve">Level</t>
  </si>
  <si>
    <t xml:space="preserve">Tome</t>
  </si>
  <si>
    <t xml:space="preserve">Enhancement (spell)</t>
  </si>
  <si>
    <t xml:space="preserve">Force of the colossus</t>
  </si>
  <si>
    <t xml:space="preserve">Force of nature</t>
  </si>
  <si>
    <t xml:space="preserve">Giant size</t>
  </si>
  <si>
    <t xml:space="preserve">Total</t>
  </si>
  <si>
    <t xml:space="preserve">Modifier</t>
  </si>
  <si>
    <t xml:space="preserve">Sheet total</t>
  </si>
  <si>
    <t xml:space="preserve">Check</t>
  </si>
  <si>
    <t xml:space="preserve">Strength</t>
  </si>
  <si>
    <t xml:space="preserve">Dexterity</t>
  </si>
  <si>
    <t xml:space="preserve">Constitution</t>
  </si>
  <si>
    <t xml:space="preserve">Intelligence</t>
  </si>
  <si>
    <t xml:space="preserve">Wisdom</t>
  </si>
  <si>
    <t xml:space="preserve">Charisma</t>
  </si>
  <si>
    <t xml:space="preserve">Enhancement column: Bull's Strength, Bear's Endurance, Fox's Cunning (+4 × 4 with Superspell). Each column is one bonus type. Blue = values from the sheet; black = formulas.</t>
  </si>
  <si>
    <t xml:space="preserve">Value</t>
  </si>
  <si>
    <t xml:space="preserve">Component 1</t>
  </si>
  <si>
    <t xml:space="preserve">Component 2</t>
  </si>
  <si>
    <t xml:space="preserve">Component 3</t>
  </si>
  <si>
    <t xml:space="preserve">Component 4</t>
  </si>
  <si>
    <t xml:space="preserve">Component 5</t>
  </si>
  <si>
    <t xml:space="preserve">Component 6</t>
  </si>
  <si>
    <t xml:space="preserve">Component 7</t>
  </si>
  <si>
    <t xml:space="preserve">Computed</t>
  </si>
  <si>
    <t xml:space="preserve">Sheet</t>
  </si>
  <si>
    <t xml:space="preserve">How</t>
  </si>
  <si>
    <t xml:space="preserve">Character level</t>
  </si>
  <si>
    <t xml:space="preserve">Warblade, Wizard, Sorcerer, Archmage, Sevenfold Veil, Ultimate Magus, Will of Death</t>
  </si>
  <si>
    <t xml:space="preserve">Base attack (classes)</t>
  </si>
  <si>
    <t xml:space="preserve">20 + ½ par niveau épique, arrondi une fois</t>
  </si>
  <si>
    <t xml:space="preserve">Base attack (Divine Power)</t>
  </si>
  <si>
    <t xml:space="preserve">20 + 0,75 par niveau au-delà de 20</t>
  </si>
  <si>
    <t xml:space="preserve">Reflex (class)</t>
  </si>
  <si>
    <t xml:space="preserve">Volonté de la mort : 1,5 (épique) + 3,5 (Résistance de l'émissaire)</t>
  </si>
  <si>
    <t xml:space="preserve">Fortitude (class)</t>
  </si>
  <si>
    <t xml:space="preserve">Will (class)</t>
  </si>
  <si>
    <t xml:space="preserve">Reflex (total)</t>
  </si>
  <si>
    <t xml:space="preserve">Classes + Dex + Int (Clarté du combat) + cape</t>
  </si>
  <si>
    <t xml:space="preserve">Fortitude (total)</t>
  </si>
  <si>
    <t xml:space="preserve">Classes + Con + cape</t>
  </si>
  <si>
    <t xml:space="preserve">Will (total)</t>
  </si>
  <si>
    <t xml:space="preserve">Classes + Sag + cape</t>
  </si>
  <si>
    <t xml:space="preserve">Base hit points</t>
  </si>
  <si>
    <t xml:space="preserve">¾ du dé de vie par niveau</t>
  </si>
  <si>
    <t xml:space="preserve">Total hit points</t>
  </si>
  <si>
    <t xml:space="preserve">Base + mod. Con × niveau</t>
  </si>
  <si>
    <t xml:space="preserve">Melee attack</t>
  </si>
  <si>
    <t xml:space="preserve">BBA (Puissance divine) + Faveur divine + arme + posture + mod. Force</t>
  </si>
  <si>
    <t xml:space="preserve">Melee damage</t>
  </si>
  <si>
    <t xml:space="preserve">Arme 3d6 (taille G, moyenne 10) + altération + Force × 1,5 + Faveur divine + mod. Int</t>
  </si>
  <si>
    <t xml:space="preserve">Spell resistance</t>
  </si>
  <si>
    <t xml:space="preserve">Résistance à la magie : 12 + niveau de lanceur</t>
  </si>
  <si>
    <t xml:space="preserve">Level from XP</t>
  </si>
  <si>
    <t xml:space="preserve">n × (n − 1) / 2 × 1000 ≤ XP</t>
  </si>
  <si>
    <t xml:space="preserve">Blue = numbers from the sheet; black = formulas (modifiers come from the Danalieth abilities tab). Check must read OK on every row.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</si>
</sst>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90"/>
    <col collapsed="false" customWidth="true" hidden="false" outlineLevel="0" max="4" min="4" style="1" width="60"/>
    <col collapsed="false" customWidth="true" hidden="false" outlineLevel="0" max="5" min="5" style="1" width="18"/>
  </cols>
  <sheetData>
    <row r="1" customFormat="false" ht="15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6" t="s">
        <v>24</v>
      </c>
    </row>
    <row r="2" customFormat="false" ht="26.25" hidden="false" customHeight="true" outlineLevel="0" collapsed="false">
      <c r="A2" s="7" t="n">
        <v>1</v>
      </c>
      <c r="B2" s="7" t="s">
        <v>25</v>
      </c>
      <c r="C2" s="7" t="s">
        <v>26</v>
      </c>
      <c r="D2" s="7" t="s">
        <v>27</v>
      </c>
      <c r="E2" s="7" t="s">
        <v>28</v>
      </c>
    </row>
    <row r="3" customFormat="false" ht="15" hidden="false" customHeight="true" outlineLevel="0" collapsed="false">
      <c r="A3" s="7" t="n">
        <v>2</v>
      </c>
      <c r="B3" s="7" t="s">
        <v>25</v>
      </c>
      <c r="C3" s="7" t="s">
        <v>29</v>
      </c>
      <c r="D3" s="7" t="s">
        <v>30</v>
      </c>
      <c r="E3" s="7" t="s">
        <v>28</v>
      </c>
    </row>
    <row r="4" customFormat="false" ht="15" hidden="false" customHeight="true" outlineLevel="0" collapsed="false">
      <c r="A4" s="7" t="n">
        <v>3</v>
      </c>
      <c r="B4" s="7" t="s">
        <v>25</v>
      </c>
      <c r="C4" s="7" t="s">
        <v>31</v>
      </c>
      <c r="D4" s="7" t="s">
        <v>32</v>
      </c>
      <c r="E4" s="7" t="s">
        <v>28</v>
      </c>
    </row>
    <row r="5" customFormat="false" ht="15" hidden="false" customHeight="true" outlineLevel="0" collapsed="false">
      <c r="A5" s="7" t="n">
        <v>4</v>
      </c>
      <c r="B5" s="7" t="s">
        <v>25</v>
      </c>
      <c r="C5" s="7" t="s">
        <v>33</v>
      </c>
      <c r="D5" s="7" t="s">
        <v>34</v>
      </c>
      <c r="E5" s="7" t="s">
        <v>28</v>
      </c>
    </row>
    <row r="6" customFormat="false" ht="26.25" hidden="false" customHeight="true" outlineLevel="0" collapsed="false">
      <c r="A6" s="7" t="n">
        <v>5</v>
      </c>
      <c r="B6" s="7" t="s">
        <v>25</v>
      </c>
      <c r="C6" s="7" t="s">
        <v>35</v>
      </c>
      <c r="D6" s="7" t="s">
        <v>36</v>
      </c>
      <c r="E6" s="7" t="s">
        <v>28</v>
      </c>
    </row>
    <row r="7" customFormat="false" ht="26.25" hidden="false" customHeight="true" outlineLevel="0" collapsed="false">
      <c r="A7" s="7" t="n">
        <v>6</v>
      </c>
      <c r="B7" s="7" t="s">
        <v>37</v>
      </c>
      <c r="C7" s="7" t="s">
        <v>38</v>
      </c>
      <c r="D7" s="7" t="s">
        <v>39</v>
      </c>
      <c r="E7" s="7" t="s">
        <v>28</v>
      </c>
    </row>
    <row r="8" customFormat="false" ht="15" hidden="false" customHeight="true" outlineLevel="0" collapsed="false">
      <c r="A8" s="7" t="n">
        <v>7</v>
      </c>
      <c r="B8" s="7" t="s">
        <v>40</v>
      </c>
      <c r="C8" s="7" t="s">
        <v>41</v>
      </c>
      <c r="D8" s="7" t="s">
        <v>42</v>
      </c>
      <c r="E8" s="7" t="s">
        <v>28</v>
      </c>
    </row>
    <row r="9" customFormat="false" ht="26.25" hidden="false" customHeight="true" outlineLevel="0" collapsed="false">
      <c r="A9" s="7" t="n">
        <v>8</v>
      </c>
      <c r="B9" s="7" t="s">
        <v>40</v>
      </c>
      <c r="C9" s="7" t="s">
        <v>43</v>
      </c>
      <c r="D9" s="7" t="s">
        <v>44</v>
      </c>
      <c r="E9" s="7" t="s">
        <v>28</v>
      </c>
    </row>
    <row r="10" customFormat="false" ht="26.25" hidden="false" customHeight="true" outlineLevel="0" collapsed="false">
      <c r="A10" s="7" t="n">
        <v>9</v>
      </c>
      <c r="B10" s="7" t="s">
        <v>40</v>
      </c>
      <c r="C10" s="7" t="s">
        <v>45</v>
      </c>
      <c r="D10" s="7" t="s">
        <v>46</v>
      </c>
      <c r="E10" s="7" t="s">
        <v>28</v>
      </c>
    </row>
    <row r="11" customFormat="false" ht="26.25" hidden="false" customHeight="true" outlineLevel="0" collapsed="false">
      <c r="A11" s="7" t="n">
        <v>10</v>
      </c>
      <c r="B11" s="7" t="s">
        <v>47</v>
      </c>
      <c r="C11" s="7" t="s">
        <v>48</v>
      </c>
      <c r="D11" s="7" t="s">
        <v>49</v>
      </c>
      <c r="E11" s="7" t="s">
        <v>28</v>
      </c>
    </row>
    <row r="12" customFormat="false" ht="15" hidden="false" customHeight="true" outlineLevel="0" collapsed="false">
      <c r="A12" s="7" t="n">
        <v>11</v>
      </c>
      <c r="B12" s="7" t="s">
        <v>47</v>
      </c>
      <c r="C12" s="7" t="s">
        <v>50</v>
      </c>
      <c r="D12" s="7" t="s">
        <v>51</v>
      </c>
      <c r="E12" s="7" t="s">
        <v>28</v>
      </c>
    </row>
    <row r="13" customFormat="false" ht="26.25" hidden="false" customHeight="true" outlineLevel="0" collapsed="false">
      <c r="A13" s="7" t="n">
        <v>12</v>
      </c>
      <c r="B13" s="7" t="s">
        <v>52</v>
      </c>
      <c r="C13" s="7" t="s">
        <v>53</v>
      </c>
      <c r="D13" s="7" t="s">
        <v>54</v>
      </c>
      <c r="E13" s="7" t="s">
        <v>28</v>
      </c>
    </row>
    <row r="14" customFormat="false" ht="26.25" hidden="false" customHeight="true" outlineLevel="0" collapsed="false">
      <c r="A14" s="7" t="n">
        <v>13</v>
      </c>
      <c r="B14" s="7" t="s">
        <v>52</v>
      </c>
      <c r="C14" s="7" t="s">
        <v>55</v>
      </c>
      <c r="D14" s="7" t="s">
        <v>56</v>
      </c>
      <c r="E14" s="7" t="s">
        <v>28</v>
      </c>
    </row>
    <row r="15" customFormat="false" ht="26.25" hidden="false" customHeight="true" outlineLevel="0" collapsed="false">
      <c r="A15" s="7" t="n">
        <v>14</v>
      </c>
      <c r="B15" s="7" t="s">
        <v>57</v>
      </c>
      <c r="C15" s="7" t="s">
        <v>58</v>
      </c>
      <c r="D15" s="7" t="s">
        <v>59</v>
      </c>
      <c r="E15" s="7" t="s">
        <v>28</v>
      </c>
    </row>
    <row r="16" customFormat="false" ht="15" hidden="false" customHeight="true" outlineLevel="0" collapsed="false">
      <c r="A16" s="7" t="n">
        <v>15</v>
      </c>
      <c r="B16" s="7" t="s">
        <v>57</v>
      </c>
      <c r="C16" s="7" t="s">
        <v>60</v>
      </c>
      <c r="D16" s="7" t="s">
        <v>61</v>
      </c>
      <c r="E16" s="7" t="s">
        <v>28</v>
      </c>
    </row>
    <row r="17" customFormat="false" ht="26.25" hidden="false" customHeight="true" outlineLevel="0" collapsed="false">
      <c r="A17" s="7" t="n">
        <v>16</v>
      </c>
      <c r="B17" s="7" t="s">
        <v>62</v>
      </c>
      <c r="C17" s="7" t="s">
        <v>63</v>
      </c>
      <c r="D17" s="7" t="s">
        <v>64</v>
      </c>
      <c r="E17" s="7" t="s">
        <v>28</v>
      </c>
    </row>
    <row r="18" customFormat="false" ht="26.25" hidden="false" customHeight="true" outlineLevel="0" collapsed="false">
      <c r="A18" s="7" t="n">
        <v>17</v>
      </c>
      <c r="B18" s="7" t="s">
        <v>65</v>
      </c>
      <c r="C18" s="7" t="s">
        <v>66</v>
      </c>
      <c r="D18" s="7" t="s">
        <v>67</v>
      </c>
      <c r="E18" s="7" t="s">
        <v>28</v>
      </c>
    </row>
    <row r="19" customFormat="false" ht="15" hidden="false" customHeight="true" outlineLevel="0" collapsed="false">
      <c r="A19" s="7" t="n">
        <v>18</v>
      </c>
      <c r="B19" s="7" t="s">
        <v>68</v>
      </c>
      <c r="C19" s="7" t="s">
        <v>69</v>
      </c>
      <c r="D19" s="7" t="s">
        <v>70</v>
      </c>
      <c r="E19" s="7" t="s">
        <v>28</v>
      </c>
    </row>
    <row r="20" customFormat="false" ht="26.25" hidden="false" customHeight="true" outlineLevel="0" collapsed="false">
      <c r="A20" s="7" t="n">
        <v>19</v>
      </c>
      <c r="B20" s="7" t="s">
        <v>40</v>
      </c>
      <c r="C20" s="7" t="s">
        <v>71</v>
      </c>
      <c r="D20" s="7" t="s">
        <v>72</v>
      </c>
      <c r="E20" s="7" t="s">
        <v>73</v>
      </c>
    </row>
    <row r="21" customFormat="false" ht="26.25" hidden="false" customHeight="true" outlineLevel="0" collapsed="false">
      <c r="A21" s="7" t="n">
        <v>20</v>
      </c>
      <c r="B21" s="7" t="s">
        <v>52</v>
      </c>
      <c r="C21" s="7" t="s">
        <v>74</v>
      </c>
      <c r="D21" s="7" t="s">
        <v>75</v>
      </c>
      <c r="E21" s="7" t="s">
        <v>73</v>
      </c>
    </row>
    <row r="22" customFormat="false" ht="26.25" hidden="false" customHeight="true" outlineLevel="0" collapsed="false">
      <c r="A22" s="7" t="n">
        <v>21</v>
      </c>
      <c r="B22" s="7" t="s">
        <v>52</v>
      </c>
      <c r="C22" s="7" t="s">
        <v>76</v>
      </c>
      <c r="D22" s="7" t="s">
        <v>77</v>
      </c>
      <c r="E22" s="7" t="s">
        <v>73</v>
      </c>
    </row>
    <row r="23" customFormat="false" ht="15" hidden="false" customHeight="true" outlineLevel="0" collapsed="false">
      <c r="A23" s="7" t="n">
        <v>22</v>
      </c>
      <c r="B23" s="7" t="s">
        <v>52</v>
      </c>
      <c r="C23" s="7" t="s">
        <v>78</v>
      </c>
      <c r="D23" s="7" t="s">
        <v>79</v>
      </c>
      <c r="E23" s="7" t="s">
        <v>73</v>
      </c>
    </row>
    <row r="24" customFormat="false" ht="26.25" hidden="false" customHeight="true" outlineLevel="0" collapsed="false">
      <c r="A24" s="7" t="n">
        <v>23</v>
      </c>
      <c r="B24" s="7" t="s">
        <v>80</v>
      </c>
      <c r="C24" s="7" t="s">
        <v>81</v>
      </c>
      <c r="D24" s="7" t="s">
        <v>82</v>
      </c>
      <c r="E24" s="7" t="s">
        <v>73</v>
      </c>
    </row>
    <row r="25" customFormat="false" ht="15" hidden="false" customHeight="true" outlineLevel="0" collapsed="false">
      <c r="A25" s="7" t="n">
        <v>24</v>
      </c>
      <c r="B25" s="7" t="s">
        <v>83</v>
      </c>
      <c r="C25" s="7" t="s">
        <v>84</v>
      </c>
      <c r="D25" s="7" t="s">
        <v>85</v>
      </c>
      <c r="E25" s="7" t="s">
        <v>73</v>
      </c>
    </row>
    <row r="26" customFormat="false" ht="26.25" hidden="false" customHeight="true" outlineLevel="0" collapsed="false">
      <c r="A26" s="7" t="n">
        <v>25</v>
      </c>
      <c r="B26" s="7" t="s">
        <v>65</v>
      </c>
      <c r="C26" s="7" t="s">
        <v>86</v>
      </c>
      <c r="D26" s="7" t="s">
        <v>87</v>
      </c>
      <c r="E26" s="7" t="s">
        <v>73</v>
      </c>
    </row>
    <row r="27" customFormat="false" ht="26.25" hidden="false" customHeight="true" outlineLevel="0" collapsed="false">
      <c r="A27" s="7" t="n">
        <v>26</v>
      </c>
      <c r="B27" s="7" t="s">
        <v>65</v>
      </c>
      <c r="C27" s="7" t="s">
        <v>88</v>
      </c>
      <c r="D27" s="7" t="s">
        <v>89</v>
      </c>
      <c r="E27" s="7" t="s">
        <v>73</v>
      </c>
    </row>
    <row r="28" customFormat="false" ht="15" hidden="false" customHeight="true" outlineLevel="0" collapsed="false">
      <c r="A28" s="7" t="n">
        <v>27</v>
      </c>
      <c r="B28" s="7" t="s">
        <v>90</v>
      </c>
      <c r="C28" s="7" t="s">
        <v>91</v>
      </c>
      <c r="D28" s="7" t="s">
        <v>92</v>
      </c>
      <c r="E28" s="7" t="s">
        <v>73</v>
      </c>
    </row>
    <row r="29" customFormat="false" ht="26.25" hidden="false" customHeight="true" outlineLevel="0" collapsed="false">
      <c r="A29" s="7" t="n">
        <v>28</v>
      </c>
      <c r="B29" s="7" t="s">
        <v>93</v>
      </c>
      <c r="C29" s="7" t="s">
        <v>94</v>
      </c>
      <c r="D29" s="7" t="s">
        <v>95</v>
      </c>
      <c r="E29" s="7" t="s">
        <v>73</v>
      </c>
    </row>
    <row r="30" customFormat="false" ht="26.25" hidden="false" customHeight="true" outlineLevel="0" collapsed="false">
      <c r="A30" s="7" t="n">
        <v>29</v>
      </c>
      <c r="B30" s="7" t="s">
        <v>96</v>
      </c>
      <c r="C30" s="7" t="s">
        <v>97</v>
      </c>
      <c r="D30" s="7" t="s">
        <v>98</v>
      </c>
      <c r="E30" s="7" t="s">
        <v>73</v>
      </c>
    </row>
    <row r="31" customFormat="false" ht="26.25" hidden="false" customHeight="true" outlineLevel="0" collapsed="false">
      <c r="A31" s="7" t="n">
        <v>30</v>
      </c>
      <c r="B31" s="7" t="s">
        <v>62</v>
      </c>
      <c r="C31" s="7" t="s">
        <v>99</v>
      </c>
      <c r="D31" s="7" t="s">
        <v>100</v>
      </c>
      <c r="E31" s="7" t="s">
        <v>73</v>
      </c>
    </row>
    <row r="32" customFormat="false" ht="26.25" hidden="false" customHeight="true" outlineLevel="0" collapsed="false">
      <c r="A32" s="7" t="n">
        <v>31</v>
      </c>
      <c r="B32" s="7" t="s">
        <v>101</v>
      </c>
      <c r="C32" s="7" t="s">
        <v>102</v>
      </c>
      <c r="D32" s="7" t="s">
        <v>103</v>
      </c>
      <c r="E32" s="7" t="s">
        <v>104</v>
      </c>
    </row>
    <row r="33" customFormat="false" ht="15" hidden="false" customHeight="true" outlineLevel="0" collapsed="false">
      <c r="A33" s="7" t="n">
        <v>32</v>
      </c>
      <c r="B33" s="7" t="s">
        <v>105</v>
      </c>
      <c r="C33" s="7" t="s">
        <v>106</v>
      </c>
      <c r="D33" s="7" t="s">
        <v>107</v>
      </c>
      <c r="E33" s="7" t="s">
        <v>104</v>
      </c>
    </row>
    <row r="34" customFormat="false" ht="26.25" hidden="false" customHeight="true" outlineLevel="0" collapsed="false">
      <c r="A34" s="7" t="n">
        <v>33</v>
      </c>
      <c r="B34" s="7" t="s">
        <v>108</v>
      </c>
      <c r="C34" s="7" t="s">
        <v>109</v>
      </c>
      <c r="D34" s="7" t="s">
        <v>110</v>
      </c>
      <c r="E34" s="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28"/>
    <col collapsed="false" customWidth="true" hidden="false" outlineLevel="0" max="5" min="5" style="1" width="11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9" min="9" style="1" width="12"/>
    <col collapsed="false" customWidth="true" hidden="false" outlineLevel="0" max="10" min="10" style="1" width="60"/>
    <col collapsed="false" customWidth="true" hidden="false" outlineLevel="0" max="11" min="11" style="1" width="20"/>
    <col collapsed="false" customWidth="true" hidden="false" outlineLevel="0" max="12" min="12" style="1" width="12"/>
    <col collapsed="false" customWidth="true" hidden="false" outlineLevel="0" max="13" min="13" style="1" width="45"/>
  </cols>
  <sheetData>
    <row r="1" customFormat="false" ht="26.25" hidden="false" customHeight="true" outlineLevel="0" collapsed="false">
      <c r="A1" s="8" t="s">
        <v>111</v>
      </c>
      <c r="B1" s="8" t="s">
        <v>112</v>
      </c>
      <c r="C1" s="8" t="s">
        <v>113</v>
      </c>
      <c r="D1" s="8" t="s">
        <v>114</v>
      </c>
      <c r="E1" s="8" t="s">
        <v>115</v>
      </c>
      <c r="F1" s="8" t="s">
        <v>116</v>
      </c>
      <c r="G1" s="8" t="s">
        <v>117</v>
      </c>
      <c r="H1" s="8" t="s">
        <v>118</v>
      </c>
      <c r="I1" s="8" t="s">
        <v>119</v>
      </c>
      <c r="J1" s="8" t="s">
        <v>120</v>
      </c>
      <c r="K1" s="8" t="s">
        <v>121</v>
      </c>
      <c r="L1" s="8" t="s">
        <v>122</v>
      </c>
      <c r="M1" s="8" t="s">
        <v>123</v>
      </c>
    </row>
    <row r="2" customFormat="false" ht="15" hidden="false" customHeight="true" outlineLevel="0" collapsed="false">
      <c r="A2" s="9" t="s">
        <v>124</v>
      </c>
      <c r="B2" s="9" t="s">
        <v>125</v>
      </c>
      <c r="C2" s="9" t="s">
        <v>126</v>
      </c>
      <c r="D2" s="9" t="s">
        <v>127</v>
      </c>
      <c r="E2" s="9" t="s">
        <v>128</v>
      </c>
      <c r="F2" s="9" t="s">
        <v>129</v>
      </c>
      <c r="G2" s="9" t="s">
        <v>130</v>
      </c>
      <c r="H2" s="9" t="s">
        <v>131</v>
      </c>
      <c r="I2" s="9"/>
      <c r="J2" s="9" t="s">
        <v>132</v>
      </c>
      <c r="K2" s="9" t="s">
        <v>133</v>
      </c>
      <c r="L2" s="9" t="s">
        <v>134</v>
      </c>
      <c r="M2" s="9" t="s">
        <v>135</v>
      </c>
    </row>
    <row r="3" customFormat="false" ht="26.25" hidden="false" customHeight="true" outlineLevel="0" collapsed="false">
      <c r="A3" s="7" t="s">
        <v>136</v>
      </c>
      <c r="B3" s="7" t="s">
        <v>137</v>
      </c>
      <c r="C3" s="7" t="s">
        <v>138</v>
      </c>
      <c r="D3" s="7" t="s">
        <v>139</v>
      </c>
      <c r="E3" s="7" t="s">
        <v>140</v>
      </c>
      <c r="F3" s="7" t="s">
        <v>141</v>
      </c>
      <c r="G3" s="7" t="s">
        <v>142</v>
      </c>
      <c r="H3" s="7"/>
      <c r="I3" s="7"/>
      <c r="J3" s="7" t="s">
        <v>143</v>
      </c>
      <c r="K3" s="7"/>
      <c r="L3" s="7" t="s">
        <v>134</v>
      </c>
      <c r="M3" s="7" t="s">
        <v>144</v>
      </c>
    </row>
    <row r="4" customFormat="false" ht="26.25" hidden="false" customHeight="true" outlineLevel="0" collapsed="false">
      <c r="A4" s="7" t="s">
        <v>145</v>
      </c>
      <c r="B4" s="7" t="s">
        <v>137</v>
      </c>
      <c r="C4" s="7" t="s">
        <v>146</v>
      </c>
      <c r="D4" s="7" t="s">
        <v>147</v>
      </c>
      <c r="E4" s="7" t="s">
        <v>140</v>
      </c>
      <c r="F4" s="7" t="s">
        <v>148</v>
      </c>
      <c r="G4" s="7" t="s">
        <v>149</v>
      </c>
      <c r="H4" s="7"/>
      <c r="I4" s="7"/>
      <c r="J4" s="7" t="s">
        <v>150</v>
      </c>
      <c r="K4" s="7"/>
      <c r="L4" s="7" t="s">
        <v>134</v>
      </c>
      <c r="M4" s="7" t="s">
        <v>151</v>
      </c>
    </row>
    <row r="5" customFormat="false" ht="15" hidden="false" customHeight="true" outlineLevel="0" collapsed="false">
      <c r="A5" s="7" t="s">
        <v>152</v>
      </c>
      <c r="B5" s="7" t="s">
        <v>137</v>
      </c>
      <c r="C5" s="7" t="s">
        <v>153</v>
      </c>
      <c r="D5" s="7" t="s">
        <v>154</v>
      </c>
      <c r="E5" s="7" t="s">
        <v>140</v>
      </c>
      <c r="F5" s="7" t="s">
        <v>148</v>
      </c>
      <c r="G5" s="7" t="s">
        <v>155</v>
      </c>
      <c r="H5" s="7"/>
      <c r="I5" s="7"/>
      <c r="J5" s="7" t="s">
        <v>156</v>
      </c>
      <c r="K5" s="7"/>
      <c r="L5" s="7" t="s">
        <v>134</v>
      </c>
      <c r="M5" s="7"/>
    </row>
    <row r="6" customFormat="false" ht="51.75" hidden="false" customHeight="true" outlineLevel="0" collapsed="false">
      <c r="A6" s="7" t="s">
        <v>157</v>
      </c>
      <c r="B6" s="7" t="s">
        <v>158</v>
      </c>
      <c r="C6" s="7" t="s">
        <v>159</v>
      </c>
      <c r="D6" s="7" t="s">
        <v>160</v>
      </c>
      <c r="E6" s="7" t="s">
        <v>140</v>
      </c>
      <c r="F6" s="7" t="s">
        <v>148</v>
      </c>
      <c r="G6" s="7" t="s">
        <v>161</v>
      </c>
      <c r="H6" s="7" t="s">
        <v>162</v>
      </c>
      <c r="I6" s="7"/>
      <c r="J6" s="7" t="s">
        <v>163</v>
      </c>
      <c r="K6" s="7"/>
      <c r="L6" s="10" t="s">
        <v>164</v>
      </c>
      <c r="M6" s="7" t="s">
        <v>165</v>
      </c>
    </row>
    <row r="7" customFormat="false" ht="15" hidden="false" customHeight="true" outlineLevel="0" collapsed="false">
      <c r="A7" s="7" t="s">
        <v>166</v>
      </c>
      <c r="B7" s="7" t="s">
        <v>158</v>
      </c>
      <c r="C7" s="7" t="s">
        <v>167</v>
      </c>
      <c r="D7" s="7" t="s">
        <v>168</v>
      </c>
      <c r="E7" s="7" t="s">
        <v>140</v>
      </c>
      <c r="F7" s="7" t="s">
        <v>169</v>
      </c>
      <c r="G7" s="7" t="s">
        <v>170</v>
      </c>
      <c r="H7" s="7" t="s">
        <v>171</v>
      </c>
      <c r="I7" s="7"/>
      <c r="J7" s="7" t="s">
        <v>172</v>
      </c>
      <c r="K7" s="7"/>
      <c r="L7" s="7" t="s">
        <v>134</v>
      </c>
      <c r="M7" s="7" t="s">
        <v>173</v>
      </c>
    </row>
    <row r="8" customFormat="false" ht="26.25" hidden="false" customHeight="true" outlineLevel="0" collapsed="false">
      <c r="A8" s="7" t="s">
        <v>174</v>
      </c>
      <c r="B8" s="7" t="s">
        <v>158</v>
      </c>
      <c r="C8" s="7" t="s">
        <v>108</v>
      </c>
      <c r="D8" s="7" t="s">
        <v>175</v>
      </c>
      <c r="E8" s="7" t="s">
        <v>176</v>
      </c>
      <c r="F8" s="7" t="s">
        <v>177</v>
      </c>
      <c r="G8" s="7" t="s">
        <v>178</v>
      </c>
      <c r="H8" s="7"/>
      <c r="I8" s="7"/>
      <c r="J8" s="7" t="s">
        <v>179</v>
      </c>
      <c r="K8" s="7"/>
      <c r="L8" s="7" t="s">
        <v>134</v>
      </c>
      <c r="M8" s="7" t="s">
        <v>180</v>
      </c>
    </row>
    <row r="9" customFormat="false" ht="26.25" hidden="false" customHeight="true" outlineLevel="0" collapsed="false">
      <c r="A9" s="7" t="s">
        <v>181</v>
      </c>
      <c r="B9" s="7" t="s">
        <v>158</v>
      </c>
      <c r="C9" s="7" t="s">
        <v>182</v>
      </c>
      <c r="D9" s="7" t="s">
        <v>183</v>
      </c>
      <c r="E9" s="7" t="s">
        <v>128</v>
      </c>
      <c r="F9" s="7" t="s">
        <v>129</v>
      </c>
      <c r="G9" s="7" t="s">
        <v>184</v>
      </c>
      <c r="H9" s="7"/>
      <c r="I9" s="7"/>
      <c r="J9" s="7" t="s">
        <v>185</v>
      </c>
      <c r="K9" s="7"/>
      <c r="L9" s="7" t="s">
        <v>134</v>
      </c>
      <c r="M9" s="7" t="s">
        <v>186</v>
      </c>
    </row>
    <row r="10" customFormat="false" ht="26.25" hidden="false" customHeight="true" outlineLevel="0" collapsed="false">
      <c r="A10" s="7" t="s">
        <v>187</v>
      </c>
      <c r="B10" s="7" t="s">
        <v>158</v>
      </c>
      <c r="C10" s="7" t="s">
        <v>188</v>
      </c>
      <c r="D10" s="7" t="s">
        <v>189</v>
      </c>
      <c r="E10" s="7" t="s">
        <v>128</v>
      </c>
      <c r="F10" s="7" t="s">
        <v>129</v>
      </c>
      <c r="G10" s="7" t="s">
        <v>190</v>
      </c>
      <c r="H10" s="7"/>
      <c r="I10" s="7"/>
      <c r="J10" s="7" t="s">
        <v>191</v>
      </c>
      <c r="K10" s="7"/>
      <c r="L10" s="7" t="s">
        <v>134</v>
      </c>
      <c r="M10" s="7" t="s">
        <v>192</v>
      </c>
    </row>
    <row r="11" customFormat="false" ht="39" hidden="false" customHeight="true" outlineLevel="0" collapsed="false">
      <c r="A11" s="7" t="s">
        <v>193</v>
      </c>
      <c r="B11" s="7" t="s">
        <v>194</v>
      </c>
      <c r="C11" s="7" t="s">
        <v>195</v>
      </c>
      <c r="D11" s="7" t="s">
        <v>196</v>
      </c>
      <c r="E11" s="7" t="s">
        <v>128</v>
      </c>
      <c r="F11" s="7" t="s">
        <v>129</v>
      </c>
      <c r="G11" s="7" t="s">
        <v>197</v>
      </c>
      <c r="H11" s="7"/>
      <c r="I11" s="7"/>
      <c r="J11" s="7" t="s">
        <v>198</v>
      </c>
      <c r="K11" s="7"/>
      <c r="L11" s="7" t="s">
        <v>134</v>
      </c>
      <c r="M11" s="7" t="s">
        <v>199</v>
      </c>
    </row>
    <row r="12" customFormat="false" ht="26.25" hidden="false" customHeight="true" outlineLevel="0" collapsed="false">
      <c r="A12" s="7" t="s">
        <v>200</v>
      </c>
      <c r="B12" s="7" t="s">
        <v>194</v>
      </c>
      <c r="C12" s="7" t="s">
        <v>201</v>
      </c>
      <c r="D12" s="7" t="s">
        <v>201</v>
      </c>
      <c r="E12" s="7" t="s">
        <v>128</v>
      </c>
      <c r="F12" s="7" t="s">
        <v>129</v>
      </c>
      <c r="G12" s="7" t="s">
        <v>202</v>
      </c>
      <c r="H12" s="7"/>
      <c r="I12" s="7"/>
      <c r="J12" s="7" t="s">
        <v>203</v>
      </c>
      <c r="K12" s="7"/>
      <c r="L12" s="7" t="s">
        <v>134</v>
      </c>
      <c r="M12" s="7" t="s">
        <v>199</v>
      </c>
    </row>
    <row r="13" customFormat="false" ht="15" hidden="false" customHeight="true" outlineLevel="0" collapsed="false">
      <c r="A13" s="7" t="s">
        <v>204</v>
      </c>
      <c r="B13" s="7" t="s">
        <v>194</v>
      </c>
      <c r="C13" s="7" t="s">
        <v>205</v>
      </c>
      <c r="D13" s="7" t="s">
        <v>205</v>
      </c>
      <c r="E13" s="7" t="s">
        <v>128</v>
      </c>
      <c r="F13" s="7" t="s">
        <v>129</v>
      </c>
      <c r="G13" s="7" t="s">
        <v>206</v>
      </c>
      <c r="H13" s="7"/>
      <c r="I13" s="7"/>
      <c r="J13" s="7" t="s">
        <v>207</v>
      </c>
      <c r="K13" s="7"/>
      <c r="L13" s="7" t="s">
        <v>134</v>
      </c>
      <c r="M13" s="7" t="s">
        <v>199</v>
      </c>
    </row>
    <row r="14" customFormat="false" ht="15" hidden="false" customHeight="true" outlineLevel="0" collapsed="false">
      <c r="A14" s="7" t="s">
        <v>208</v>
      </c>
      <c r="B14" s="7" t="s">
        <v>125</v>
      </c>
      <c r="C14" s="7" t="s">
        <v>209</v>
      </c>
      <c r="D14" s="7" t="s">
        <v>210</v>
      </c>
      <c r="E14" s="7" t="s">
        <v>140</v>
      </c>
      <c r="F14" s="7" t="s">
        <v>148</v>
      </c>
      <c r="G14" s="7" t="s">
        <v>211</v>
      </c>
      <c r="H14" s="7"/>
      <c r="I14" s="7"/>
      <c r="J14" s="7" t="s">
        <v>212</v>
      </c>
      <c r="K14" s="7"/>
      <c r="L14" s="7" t="s">
        <v>134</v>
      </c>
      <c r="M14" s="7"/>
    </row>
    <row r="15" customFormat="false" ht="26.25" hidden="false" customHeight="true" outlineLevel="0" collapsed="false">
      <c r="A15" s="7" t="s">
        <v>213</v>
      </c>
      <c r="B15" s="7" t="s">
        <v>125</v>
      </c>
      <c r="C15" s="7" t="s">
        <v>214</v>
      </c>
      <c r="D15" s="7" t="s">
        <v>215</v>
      </c>
      <c r="E15" s="7" t="s">
        <v>140</v>
      </c>
      <c r="F15" s="7" t="s">
        <v>148</v>
      </c>
      <c r="G15" s="7" t="s">
        <v>211</v>
      </c>
      <c r="H15" s="7" t="s">
        <v>216</v>
      </c>
      <c r="I15" s="7"/>
      <c r="J15" s="7" t="s">
        <v>217</v>
      </c>
      <c r="K15" s="7"/>
      <c r="L15" s="7" t="s">
        <v>134</v>
      </c>
      <c r="M15" s="7"/>
    </row>
    <row r="16" customFormat="false" ht="15" hidden="false" customHeight="true" outlineLevel="0" collapsed="false">
      <c r="A16" s="7" t="s">
        <v>218</v>
      </c>
      <c r="B16" s="7" t="s">
        <v>125</v>
      </c>
      <c r="C16" s="7" t="s">
        <v>219</v>
      </c>
      <c r="D16" s="7" t="s">
        <v>220</v>
      </c>
      <c r="E16" s="7" t="s">
        <v>140</v>
      </c>
      <c r="F16" s="7" t="s">
        <v>148</v>
      </c>
      <c r="G16" s="7" t="s">
        <v>221</v>
      </c>
      <c r="H16" s="7"/>
      <c r="I16" s="7"/>
      <c r="J16" s="7" t="s">
        <v>222</v>
      </c>
      <c r="K16" s="7"/>
      <c r="L16" s="7" t="s">
        <v>134</v>
      </c>
      <c r="M16" s="7"/>
    </row>
    <row r="17" customFormat="false" ht="26.25" hidden="false" customHeight="true" outlineLevel="0" collapsed="false">
      <c r="A17" s="7" t="s">
        <v>223</v>
      </c>
      <c r="B17" s="7" t="s">
        <v>125</v>
      </c>
      <c r="C17" s="7" t="s">
        <v>224</v>
      </c>
      <c r="D17" s="7" t="s">
        <v>225</v>
      </c>
      <c r="E17" s="7" t="s">
        <v>140</v>
      </c>
      <c r="F17" s="7" t="s">
        <v>148</v>
      </c>
      <c r="G17" s="7" t="s">
        <v>226</v>
      </c>
      <c r="H17" s="7" t="s">
        <v>227</v>
      </c>
      <c r="I17" s="7"/>
      <c r="J17" s="7" t="s">
        <v>228</v>
      </c>
      <c r="K17" s="7"/>
      <c r="L17" s="7" t="s">
        <v>134</v>
      </c>
      <c r="M17" s="7" t="s">
        <v>229</v>
      </c>
    </row>
    <row r="18" customFormat="false" ht="26.25" hidden="false" customHeight="true" outlineLevel="0" collapsed="false">
      <c r="A18" s="7" t="s">
        <v>230</v>
      </c>
      <c r="B18" s="7" t="s">
        <v>125</v>
      </c>
      <c r="C18" s="7" t="s">
        <v>231</v>
      </c>
      <c r="D18" s="7" t="s">
        <v>232</v>
      </c>
      <c r="E18" s="7" t="s">
        <v>140</v>
      </c>
      <c r="F18" s="7" t="s">
        <v>148</v>
      </c>
      <c r="G18" s="7" t="s">
        <v>233</v>
      </c>
      <c r="H18" s="7" t="s">
        <v>234</v>
      </c>
      <c r="I18" s="7"/>
      <c r="J18" s="7" t="s">
        <v>235</v>
      </c>
      <c r="K18" s="7"/>
      <c r="L18" s="7" t="s">
        <v>134</v>
      </c>
      <c r="M18" s="7" t="s">
        <v>229</v>
      </c>
    </row>
    <row r="19" customFormat="false" ht="15" hidden="false" customHeight="true" outlineLevel="0" collapsed="false">
      <c r="A19" s="7" t="s">
        <v>236</v>
      </c>
      <c r="B19" s="7" t="s">
        <v>125</v>
      </c>
      <c r="C19" s="7" t="s">
        <v>237</v>
      </c>
      <c r="D19" s="7" t="s">
        <v>238</v>
      </c>
      <c r="E19" s="7" t="s">
        <v>140</v>
      </c>
      <c r="F19" s="7" t="s">
        <v>148</v>
      </c>
      <c r="G19" s="7" t="s">
        <v>239</v>
      </c>
      <c r="H19" s="7"/>
      <c r="I19" s="7"/>
      <c r="J19" s="7" t="s">
        <v>240</v>
      </c>
      <c r="K19" s="7"/>
      <c r="L19" s="7" t="s">
        <v>134</v>
      </c>
      <c r="M19" s="7"/>
    </row>
    <row r="20" customFormat="false" ht="15" hidden="false" customHeight="true" outlineLevel="0" collapsed="false">
      <c r="A20" s="7" t="s">
        <v>241</v>
      </c>
      <c r="B20" s="7" t="s">
        <v>125</v>
      </c>
      <c r="C20" s="7" t="s">
        <v>242</v>
      </c>
      <c r="D20" s="7" t="s">
        <v>243</v>
      </c>
      <c r="E20" s="7" t="s">
        <v>140</v>
      </c>
      <c r="F20" s="7" t="s">
        <v>148</v>
      </c>
      <c r="G20" s="7" t="s">
        <v>239</v>
      </c>
      <c r="H20" s="7"/>
      <c r="I20" s="7"/>
      <c r="J20" s="7" t="s">
        <v>244</v>
      </c>
      <c r="K20" s="7"/>
      <c r="L20" s="7" t="s">
        <v>134</v>
      </c>
      <c r="M20" s="7"/>
    </row>
    <row r="21" customFormat="false" ht="15" hidden="false" customHeight="true" outlineLevel="0" collapsed="false">
      <c r="A21" s="7" t="s">
        <v>245</v>
      </c>
      <c r="B21" s="7" t="s">
        <v>125</v>
      </c>
      <c r="C21" s="7" t="s">
        <v>246</v>
      </c>
      <c r="D21" s="7" t="s">
        <v>247</v>
      </c>
      <c r="E21" s="7" t="s">
        <v>140</v>
      </c>
      <c r="F21" s="7" t="s">
        <v>148</v>
      </c>
      <c r="G21" s="7" t="s">
        <v>239</v>
      </c>
      <c r="H21" s="7"/>
      <c r="I21" s="7"/>
      <c r="J21" s="7" t="s">
        <v>248</v>
      </c>
      <c r="K21" s="7"/>
      <c r="L21" s="7" t="s">
        <v>134</v>
      </c>
      <c r="M21" s="7"/>
    </row>
    <row r="22" customFormat="false" ht="26.25" hidden="false" customHeight="true" outlineLevel="0" collapsed="false">
      <c r="A22" s="7" t="s">
        <v>249</v>
      </c>
      <c r="B22" s="7" t="s">
        <v>125</v>
      </c>
      <c r="C22" s="7" t="s">
        <v>250</v>
      </c>
      <c r="D22" s="7" t="s">
        <v>251</v>
      </c>
      <c r="E22" s="7" t="s">
        <v>140</v>
      </c>
      <c r="F22" s="7" t="s">
        <v>169</v>
      </c>
      <c r="G22" s="7" t="s">
        <v>239</v>
      </c>
      <c r="H22" s="7"/>
      <c r="I22" s="7"/>
      <c r="J22" s="7" t="s">
        <v>252</v>
      </c>
      <c r="K22" s="7"/>
      <c r="L22" s="10" t="s">
        <v>164</v>
      </c>
      <c r="M22" s="7" t="s">
        <v>253</v>
      </c>
    </row>
    <row r="23" customFormat="false" ht="26.25" hidden="false" customHeight="true" outlineLevel="0" collapsed="false">
      <c r="A23" s="7" t="s">
        <v>254</v>
      </c>
      <c r="B23" s="7" t="s">
        <v>125</v>
      </c>
      <c r="C23" s="7" t="s">
        <v>255</v>
      </c>
      <c r="D23" s="7" t="s">
        <v>256</v>
      </c>
      <c r="E23" s="7" t="s">
        <v>140</v>
      </c>
      <c r="F23" s="7" t="s">
        <v>257</v>
      </c>
      <c r="G23" s="7" t="s">
        <v>258</v>
      </c>
      <c r="H23" s="7"/>
      <c r="I23" s="7"/>
      <c r="J23" s="7" t="s">
        <v>259</v>
      </c>
      <c r="K23" s="7"/>
      <c r="L23" s="7" t="s">
        <v>134</v>
      </c>
      <c r="M23" s="7"/>
    </row>
    <row r="24" customFormat="false" ht="26.25" hidden="false" customHeight="true" outlineLevel="0" collapsed="false">
      <c r="A24" s="7" t="s">
        <v>260</v>
      </c>
      <c r="B24" s="7" t="s">
        <v>125</v>
      </c>
      <c r="C24" s="7" t="s">
        <v>261</v>
      </c>
      <c r="D24" s="7" t="s">
        <v>261</v>
      </c>
      <c r="E24" s="7" t="s">
        <v>128</v>
      </c>
      <c r="F24" s="7" t="s">
        <v>129</v>
      </c>
      <c r="G24" s="7" t="s">
        <v>262</v>
      </c>
      <c r="H24" s="7"/>
      <c r="I24" s="7"/>
      <c r="J24" s="7" t="s">
        <v>263</v>
      </c>
      <c r="K24" s="7"/>
      <c r="L24" s="7" t="s">
        <v>134</v>
      </c>
      <c r="M24" s="7"/>
    </row>
    <row r="25" customFormat="false" ht="26.25" hidden="false" customHeight="true" outlineLevel="0" collapsed="false">
      <c r="A25" s="7" t="s">
        <v>264</v>
      </c>
      <c r="B25" s="7" t="s">
        <v>125</v>
      </c>
      <c r="C25" s="7" t="s">
        <v>265</v>
      </c>
      <c r="D25" s="7" t="s">
        <v>266</v>
      </c>
      <c r="E25" s="7" t="s">
        <v>140</v>
      </c>
      <c r="F25" s="7" t="s">
        <v>257</v>
      </c>
      <c r="G25" s="7" t="s">
        <v>258</v>
      </c>
      <c r="H25" s="7"/>
      <c r="I25" s="7"/>
      <c r="J25" s="7" t="s">
        <v>267</v>
      </c>
      <c r="K25" s="7"/>
      <c r="L25" s="7" t="s">
        <v>134</v>
      </c>
      <c r="M25" s="7" t="s">
        <v>268</v>
      </c>
    </row>
    <row r="26" customFormat="false" ht="26.25" hidden="false" customHeight="true" outlineLevel="0" collapsed="false">
      <c r="A26" s="7" t="s">
        <v>269</v>
      </c>
      <c r="B26" s="7" t="s">
        <v>125</v>
      </c>
      <c r="C26" s="7" t="s">
        <v>270</v>
      </c>
      <c r="D26" s="7" t="s">
        <v>271</v>
      </c>
      <c r="E26" s="7" t="s">
        <v>140</v>
      </c>
      <c r="F26" s="7" t="s">
        <v>257</v>
      </c>
      <c r="G26" s="7" t="s">
        <v>272</v>
      </c>
      <c r="H26" s="7"/>
      <c r="I26" s="7"/>
      <c r="J26" s="7" t="s">
        <v>273</v>
      </c>
      <c r="K26" s="7"/>
      <c r="L26" s="7" t="s">
        <v>134</v>
      </c>
      <c r="M26" s="7"/>
    </row>
    <row r="27" customFormat="false" ht="15" hidden="false" customHeight="true" outlineLevel="0" collapsed="false">
      <c r="A27" s="7" t="s">
        <v>274</v>
      </c>
      <c r="B27" s="7" t="s">
        <v>125</v>
      </c>
      <c r="C27" s="7" t="s">
        <v>275</v>
      </c>
      <c r="D27" s="7" t="s">
        <v>276</v>
      </c>
      <c r="E27" s="7" t="s">
        <v>164</v>
      </c>
      <c r="F27" s="7" t="s">
        <v>164</v>
      </c>
      <c r="G27" s="7" t="s">
        <v>277</v>
      </c>
      <c r="H27" s="7"/>
      <c r="I27" s="7"/>
      <c r="J27" s="7" t="s">
        <v>278</v>
      </c>
      <c r="K27" s="7"/>
      <c r="L27" s="7" t="s">
        <v>134</v>
      </c>
      <c r="M27" s="7" t="s">
        <v>279</v>
      </c>
    </row>
    <row r="28" customFormat="false" ht="26.25" hidden="false" customHeight="true" outlineLevel="0" collapsed="false">
      <c r="A28" s="7" t="s">
        <v>280</v>
      </c>
      <c r="B28" s="7" t="s">
        <v>125</v>
      </c>
      <c r="C28" s="7" t="s">
        <v>281</v>
      </c>
      <c r="D28" s="7" t="s">
        <v>282</v>
      </c>
      <c r="E28" s="7" t="s">
        <v>128</v>
      </c>
      <c r="F28" s="7" t="s">
        <v>129</v>
      </c>
      <c r="G28" s="7" t="s">
        <v>283</v>
      </c>
      <c r="H28" s="7"/>
      <c r="I28" s="7"/>
      <c r="J28" s="7" t="s">
        <v>284</v>
      </c>
      <c r="K28" s="7"/>
      <c r="L28" s="7" t="s">
        <v>134</v>
      </c>
      <c r="M28" s="7"/>
    </row>
    <row r="29" customFormat="false" ht="26.25" hidden="false" customHeight="true" outlineLevel="0" collapsed="false">
      <c r="A29" s="7" t="s">
        <v>285</v>
      </c>
      <c r="B29" s="7" t="s">
        <v>286</v>
      </c>
      <c r="C29" s="7" t="s">
        <v>287</v>
      </c>
      <c r="D29" s="7" t="s">
        <v>288</v>
      </c>
      <c r="E29" s="7" t="s">
        <v>140</v>
      </c>
      <c r="F29" s="7" t="s">
        <v>141</v>
      </c>
      <c r="G29" s="7" t="s">
        <v>289</v>
      </c>
      <c r="H29" s="7"/>
      <c r="I29" s="7"/>
      <c r="J29" s="7" t="s">
        <v>290</v>
      </c>
      <c r="K29" s="7"/>
      <c r="L29" s="10" t="s">
        <v>164</v>
      </c>
      <c r="M29" s="7" t="s">
        <v>291</v>
      </c>
    </row>
    <row r="30" customFormat="false" ht="26.25" hidden="false" customHeight="true" outlineLevel="0" collapsed="false">
      <c r="A30" s="7" t="s">
        <v>292</v>
      </c>
      <c r="B30" s="7" t="s">
        <v>286</v>
      </c>
      <c r="C30" s="7" t="s">
        <v>293</v>
      </c>
      <c r="D30" s="7" t="s">
        <v>294</v>
      </c>
      <c r="E30" s="7" t="s">
        <v>140</v>
      </c>
      <c r="F30" s="7" t="s">
        <v>295</v>
      </c>
      <c r="G30" s="7" t="s">
        <v>289</v>
      </c>
      <c r="H30" s="7"/>
      <c r="I30" s="7"/>
      <c r="J30" s="7" t="s">
        <v>296</v>
      </c>
      <c r="K30" s="7"/>
      <c r="L30" s="10" t="s">
        <v>164</v>
      </c>
      <c r="M30" s="7"/>
    </row>
    <row r="31" customFormat="false" ht="26.25" hidden="false" customHeight="true" outlineLevel="0" collapsed="false">
      <c r="A31" s="7" t="s">
        <v>297</v>
      </c>
      <c r="B31" s="7" t="s">
        <v>286</v>
      </c>
      <c r="C31" s="7" t="s">
        <v>298</v>
      </c>
      <c r="D31" s="7" t="s">
        <v>299</v>
      </c>
      <c r="E31" s="7" t="s">
        <v>140</v>
      </c>
      <c r="F31" s="7" t="s">
        <v>141</v>
      </c>
      <c r="G31" s="7" t="s">
        <v>289</v>
      </c>
      <c r="H31" s="7"/>
      <c r="I31" s="7"/>
      <c r="J31" s="7" t="s">
        <v>300</v>
      </c>
      <c r="K31" s="7"/>
      <c r="L31" s="7" t="s">
        <v>134</v>
      </c>
      <c r="M31" s="7"/>
    </row>
    <row r="32" customFormat="false" ht="26.25" hidden="false" customHeight="true" outlineLevel="0" collapsed="false">
      <c r="A32" s="7" t="s">
        <v>301</v>
      </c>
      <c r="B32" s="7" t="s">
        <v>286</v>
      </c>
      <c r="C32" s="7" t="s">
        <v>302</v>
      </c>
      <c r="D32" s="7" t="s">
        <v>303</v>
      </c>
      <c r="E32" s="7" t="s">
        <v>140</v>
      </c>
      <c r="F32" s="7" t="s">
        <v>148</v>
      </c>
      <c r="G32" s="7" t="s">
        <v>304</v>
      </c>
      <c r="H32" s="7"/>
      <c r="I32" s="7"/>
      <c r="J32" s="7" t="s">
        <v>305</v>
      </c>
      <c r="K32" s="7"/>
      <c r="L32" s="7" t="s">
        <v>134</v>
      </c>
      <c r="M32" s="7" t="s">
        <v>306</v>
      </c>
    </row>
    <row r="33" customFormat="false" ht="26.25" hidden="false" customHeight="true" outlineLevel="0" collapsed="false">
      <c r="A33" s="7" t="s">
        <v>307</v>
      </c>
      <c r="B33" s="7" t="s">
        <v>286</v>
      </c>
      <c r="C33" s="7" t="s">
        <v>308</v>
      </c>
      <c r="D33" s="7" t="s">
        <v>309</v>
      </c>
      <c r="E33" s="7" t="s">
        <v>140</v>
      </c>
      <c r="F33" s="7" t="s">
        <v>148</v>
      </c>
      <c r="G33" s="7" t="s">
        <v>304</v>
      </c>
      <c r="H33" s="7"/>
      <c r="I33" s="7"/>
      <c r="J33" s="7" t="s">
        <v>310</v>
      </c>
      <c r="K33" s="7"/>
      <c r="L33" s="7" t="s">
        <v>134</v>
      </c>
      <c r="M33" s="7" t="s">
        <v>306</v>
      </c>
    </row>
    <row r="34" customFormat="false" ht="26.25" hidden="false" customHeight="true" outlineLevel="0" collapsed="false">
      <c r="A34" s="7" t="s">
        <v>311</v>
      </c>
      <c r="B34" s="7" t="s">
        <v>286</v>
      </c>
      <c r="C34" s="7" t="s">
        <v>312</v>
      </c>
      <c r="D34" s="7" t="s">
        <v>313</v>
      </c>
      <c r="E34" s="7" t="s">
        <v>140</v>
      </c>
      <c r="F34" s="7" t="s">
        <v>148</v>
      </c>
      <c r="G34" s="7" t="s">
        <v>304</v>
      </c>
      <c r="H34" s="7"/>
      <c r="I34" s="7"/>
      <c r="J34" s="7" t="s">
        <v>314</v>
      </c>
      <c r="K34" s="7"/>
      <c r="L34" s="7" t="s">
        <v>134</v>
      </c>
      <c r="M34" s="7" t="s">
        <v>306</v>
      </c>
    </row>
    <row r="35" customFormat="false" ht="26.25" hidden="false" customHeight="true" outlineLevel="0" collapsed="false">
      <c r="A35" s="7" t="s">
        <v>315</v>
      </c>
      <c r="B35" s="7" t="s">
        <v>286</v>
      </c>
      <c r="C35" s="7" t="s">
        <v>316</v>
      </c>
      <c r="D35" s="7" t="s">
        <v>317</v>
      </c>
      <c r="E35" s="7" t="s">
        <v>140</v>
      </c>
      <c r="F35" s="7" t="s">
        <v>148</v>
      </c>
      <c r="G35" s="7" t="s">
        <v>304</v>
      </c>
      <c r="H35" s="7"/>
      <c r="I35" s="7"/>
      <c r="J35" s="7" t="s">
        <v>318</v>
      </c>
      <c r="K35" s="7"/>
      <c r="L35" s="7" t="s">
        <v>134</v>
      </c>
      <c r="M35" s="7" t="s">
        <v>319</v>
      </c>
    </row>
    <row r="36" customFormat="false" ht="15" hidden="false" customHeight="true" outlineLevel="0" collapsed="false">
      <c r="A36" s="7" t="s">
        <v>320</v>
      </c>
      <c r="B36" s="7" t="s">
        <v>286</v>
      </c>
      <c r="C36" s="7" t="s">
        <v>321</v>
      </c>
      <c r="D36" s="7" t="s">
        <v>322</v>
      </c>
      <c r="E36" s="7" t="s">
        <v>140</v>
      </c>
      <c r="F36" s="7" t="s">
        <v>148</v>
      </c>
      <c r="G36" s="7" t="s">
        <v>304</v>
      </c>
      <c r="H36" s="7"/>
      <c r="I36" s="7"/>
      <c r="J36" s="7" t="s">
        <v>323</v>
      </c>
      <c r="K36" s="7"/>
      <c r="L36" s="7" t="s">
        <v>134</v>
      </c>
      <c r="M36" s="7"/>
    </row>
    <row r="37" customFormat="false" ht="26.25" hidden="false" customHeight="true" outlineLevel="0" collapsed="false">
      <c r="A37" s="7" t="s">
        <v>324</v>
      </c>
      <c r="B37" s="7" t="s">
        <v>286</v>
      </c>
      <c r="C37" s="7" t="s">
        <v>325</v>
      </c>
      <c r="D37" s="7" t="s">
        <v>326</v>
      </c>
      <c r="E37" s="7" t="s">
        <v>140</v>
      </c>
      <c r="F37" s="7" t="s">
        <v>327</v>
      </c>
      <c r="G37" s="7" t="s">
        <v>328</v>
      </c>
      <c r="H37" s="7"/>
      <c r="I37" s="7"/>
      <c r="J37" s="7" t="s">
        <v>329</v>
      </c>
      <c r="K37" s="7"/>
      <c r="L37" s="7" t="s">
        <v>134</v>
      </c>
      <c r="M37" s="7" t="s">
        <v>330</v>
      </c>
    </row>
    <row r="38" customFormat="false" ht="26.25" hidden="false" customHeight="true" outlineLevel="0" collapsed="false">
      <c r="A38" s="7" t="s">
        <v>331</v>
      </c>
      <c r="B38" s="7" t="s">
        <v>286</v>
      </c>
      <c r="C38" s="7" t="s">
        <v>332</v>
      </c>
      <c r="D38" s="7" t="s">
        <v>333</v>
      </c>
      <c r="E38" s="7" t="s">
        <v>128</v>
      </c>
      <c r="F38" s="7" t="s">
        <v>129</v>
      </c>
      <c r="G38" s="7" t="s">
        <v>334</v>
      </c>
      <c r="H38" s="7"/>
      <c r="I38" s="7"/>
      <c r="J38" s="7" t="s">
        <v>335</v>
      </c>
      <c r="K38" s="7"/>
      <c r="L38" s="7" t="s">
        <v>134</v>
      </c>
      <c r="M38" s="7"/>
    </row>
    <row r="39" customFormat="false" ht="51.75" hidden="false" customHeight="true" outlineLevel="0" collapsed="false">
      <c r="A39" s="7" t="s">
        <v>336</v>
      </c>
      <c r="B39" s="7" t="s">
        <v>286</v>
      </c>
      <c r="C39" s="7" t="s">
        <v>337</v>
      </c>
      <c r="D39" s="7" t="s">
        <v>338</v>
      </c>
      <c r="E39" s="7" t="s">
        <v>128</v>
      </c>
      <c r="F39" s="7" t="s">
        <v>129</v>
      </c>
      <c r="G39" s="7" t="s">
        <v>339</v>
      </c>
      <c r="H39" s="7"/>
      <c r="I39" s="7"/>
      <c r="J39" s="7" t="s">
        <v>340</v>
      </c>
      <c r="K39" s="7"/>
      <c r="L39" s="7" t="s">
        <v>134</v>
      </c>
      <c r="M39" s="7"/>
    </row>
    <row r="40" customFormat="false" ht="26.25" hidden="false" customHeight="true" outlineLevel="0" collapsed="false">
      <c r="A40" s="7" t="s">
        <v>341</v>
      </c>
      <c r="B40" s="7" t="s">
        <v>286</v>
      </c>
      <c r="C40" s="7" t="s">
        <v>342</v>
      </c>
      <c r="D40" s="7" t="s">
        <v>343</v>
      </c>
      <c r="E40" s="7" t="s">
        <v>128</v>
      </c>
      <c r="F40" s="7" t="s">
        <v>129</v>
      </c>
      <c r="G40" s="7" t="s">
        <v>344</v>
      </c>
      <c r="H40" s="7"/>
      <c r="I40" s="7"/>
      <c r="J40" s="7" t="s">
        <v>345</v>
      </c>
      <c r="K40" s="7"/>
      <c r="L40" s="7" t="s">
        <v>134</v>
      </c>
      <c r="M40" s="7"/>
    </row>
    <row r="41" customFormat="false" ht="26.25" hidden="false" customHeight="true" outlineLevel="0" collapsed="false">
      <c r="A41" s="7" t="s">
        <v>346</v>
      </c>
      <c r="B41" s="7" t="s">
        <v>286</v>
      </c>
      <c r="C41" s="7" t="s">
        <v>347</v>
      </c>
      <c r="D41" s="7" t="s">
        <v>348</v>
      </c>
      <c r="E41" s="7" t="s">
        <v>128</v>
      </c>
      <c r="F41" s="7" t="s">
        <v>129</v>
      </c>
      <c r="G41" s="7" t="s">
        <v>349</v>
      </c>
      <c r="H41" s="7"/>
      <c r="I41" s="7"/>
      <c r="J41" s="7" t="s">
        <v>350</v>
      </c>
      <c r="K41" s="7"/>
      <c r="L41" s="7" t="s">
        <v>134</v>
      </c>
      <c r="M41" s="7" t="s">
        <v>351</v>
      </c>
    </row>
    <row r="42" customFormat="false" ht="26.25" hidden="false" customHeight="true" outlineLevel="0" collapsed="false">
      <c r="A42" s="7" t="s">
        <v>352</v>
      </c>
      <c r="B42" s="7" t="s">
        <v>286</v>
      </c>
      <c r="C42" s="7" t="s">
        <v>353</v>
      </c>
      <c r="D42" s="7" t="s">
        <v>354</v>
      </c>
      <c r="E42" s="7" t="s">
        <v>128</v>
      </c>
      <c r="F42" s="7" t="s">
        <v>129</v>
      </c>
      <c r="G42" s="7" t="s">
        <v>355</v>
      </c>
      <c r="H42" s="7"/>
      <c r="I42" s="7"/>
      <c r="J42" s="7" t="s">
        <v>356</v>
      </c>
      <c r="K42" s="7"/>
      <c r="L42" s="7" t="s">
        <v>134</v>
      </c>
      <c r="M42" s="7" t="s">
        <v>357</v>
      </c>
    </row>
    <row r="43" customFormat="false" ht="39" hidden="false" customHeight="true" outlineLevel="0" collapsed="false">
      <c r="A43" s="7" t="s">
        <v>358</v>
      </c>
      <c r="B43" s="7" t="s">
        <v>286</v>
      </c>
      <c r="C43" s="7" t="s">
        <v>359</v>
      </c>
      <c r="D43" s="7" t="s">
        <v>360</v>
      </c>
      <c r="E43" s="7" t="s">
        <v>128</v>
      </c>
      <c r="F43" s="7" t="s">
        <v>129</v>
      </c>
      <c r="G43" s="7" t="s">
        <v>355</v>
      </c>
      <c r="H43" s="7"/>
      <c r="I43" s="7"/>
      <c r="J43" s="7" t="s">
        <v>361</v>
      </c>
      <c r="K43" s="7"/>
      <c r="L43" s="7" t="s">
        <v>134</v>
      </c>
      <c r="M43" s="7" t="s">
        <v>362</v>
      </c>
    </row>
    <row r="44" customFormat="false" ht="26.25" hidden="false" customHeight="true" outlineLevel="0" collapsed="false">
      <c r="A44" s="7" t="s">
        <v>363</v>
      </c>
      <c r="B44" s="7" t="s">
        <v>286</v>
      </c>
      <c r="C44" s="7" t="s">
        <v>364</v>
      </c>
      <c r="D44" s="7" t="s">
        <v>365</v>
      </c>
      <c r="E44" s="7" t="s">
        <v>128</v>
      </c>
      <c r="F44" s="7" t="s">
        <v>129</v>
      </c>
      <c r="G44" s="7" t="s">
        <v>349</v>
      </c>
      <c r="H44" s="7"/>
      <c r="I44" s="7"/>
      <c r="J44" s="7" t="s">
        <v>366</v>
      </c>
      <c r="K44" s="7"/>
      <c r="L44" s="7" t="s">
        <v>134</v>
      </c>
      <c r="M44" s="7" t="s">
        <v>367</v>
      </c>
    </row>
    <row r="45" customFormat="false" ht="26.25" hidden="false" customHeight="true" outlineLevel="0" collapsed="false">
      <c r="A45" s="7" t="s">
        <v>368</v>
      </c>
      <c r="B45" s="7" t="s">
        <v>286</v>
      </c>
      <c r="C45" s="7" t="s">
        <v>369</v>
      </c>
      <c r="D45" s="7" t="s">
        <v>370</v>
      </c>
      <c r="E45" s="7" t="s">
        <v>128</v>
      </c>
      <c r="F45" s="7" t="s">
        <v>129</v>
      </c>
      <c r="G45" s="7" t="s">
        <v>371</v>
      </c>
      <c r="H45" s="7"/>
      <c r="I45" s="7"/>
      <c r="J45" s="7" t="s">
        <v>372</v>
      </c>
      <c r="K45" s="7"/>
      <c r="L45" s="7" t="s">
        <v>134</v>
      </c>
      <c r="M45" s="7"/>
    </row>
    <row r="46" customFormat="false" ht="26.25" hidden="false" customHeight="true" outlineLevel="0" collapsed="false">
      <c r="A46" s="7" t="s">
        <v>373</v>
      </c>
      <c r="B46" s="7" t="s">
        <v>286</v>
      </c>
      <c r="C46" s="7" t="s">
        <v>374</v>
      </c>
      <c r="D46" s="7" t="s">
        <v>375</v>
      </c>
      <c r="E46" s="7" t="s">
        <v>128</v>
      </c>
      <c r="F46" s="7" t="s">
        <v>129</v>
      </c>
      <c r="G46" s="7" t="s">
        <v>376</v>
      </c>
      <c r="H46" s="7"/>
      <c r="I46" s="7"/>
      <c r="J46" s="7" t="s">
        <v>377</v>
      </c>
      <c r="K46" s="7"/>
      <c r="L46" s="10" t="s">
        <v>164</v>
      </c>
      <c r="M46" s="7" t="s">
        <v>378</v>
      </c>
    </row>
    <row r="47" customFormat="false" ht="26.25" hidden="false" customHeight="true" outlineLevel="0" collapsed="false">
      <c r="A47" s="7" t="s">
        <v>379</v>
      </c>
      <c r="B47" s="7" t="s">
        <v>286</v>
      </c>
      <c r="C47" s="7" t="s">
        <v>380</v>
      </c>
      <c r="D47" s="7" t="s">
        <v>381</v>
      </c>
      <c r="E47" s="7" t="s">
        <v>128</v>
      </c>
      <c r="F47" s="7" t="s">
        <v>129</v>
      </c>
      <c r="G47" s="7" t="s">
        <v>382</v>
      </c>
      <c r="H47" s="7"/>
      <c r="I47" s="7"/>
      <c r="J47" s="7" t="s">
        <v>383</v>
      </c>
      <c r="K47" s="7"/>
      <c r="L47" s="10" t="s">
        <v>164</v>
      </c>
      <c r="M47" s="7" t="s">
        <v>384</v>
      </c>
    </row>
    <row r="48" customFormat="false" ht="26.25" hidden="false" customHeight="true" outlineLevel="0" collapsed="false">
      <c r="A48" s="7" t="s">
        <v>385</v>
      </c>
      <c r="B48" s="7" t="s">
        <v>386</v>
      </c>
      <c r="C48" s="7" t="s">
        <v>387</v>
      </c>
      <c r="D48" s="7" t="s">
        <v>388</v>
      </c>
      <c r="E48" s="7" t="s">
        <v>140</v>
      </c>
      <c r="F48" s="7" t="s">
        <v>148</v>
      </c>
      <c r="G48" s="7" t="s">
        <v>389</v>
      </c>
      <c r="H48" s="7"/>
      <c r="I48" s="7"/>
      <c r="J48" s="7" t="s">
        <v>390</v>
      </c>
      <c r="K48" s="7"/>
      <c r="L48" s="7" t="s">
        <v>134</v>
      </c>
      <c r="M48" s="7" t="s">
        <v>391</v>
      </c>
    </row>
    <row r="49" customFormat="false" ht="26.25" hidden="false" customHeight="true" outlineLevel="0" collapsed="false">
      <c r="A49" s="7" t="s">
        <v>392</v>
      </c>
      <c r="B49" s="7" t="s">
        <v>386</v>
      </c>
      <c r="C49" s="7" t="s">
        <v>393</v>
      </c>
      <c r="D49" s="7" t="s">
        <v>394</v>
      </c>
      <c r="E49" s="7" t="s">
        <v>140</v>
      </c>
      <c r="F49" s="7" t="s">
        <v>148</v>
      </c>
      <c r="G49" s="7" t="s">
        <v>389</v>
      </c>
      <c r="H49" s="7"/>
      <c r="I49" s="7"/>
      <c r="J49" s="7" t="s">
        <v>395</v>
      </c>
      <c r="K49" s="7"/>
      <c r="L49" s="7" t="s">
        <v>134</v>
      </c>
      <c r="M49" s="7" t="s">
        <v>391</v>
      </c>
    </row>
    <row r="50" customFormat="false" ht="15" hidden="false" customHeight="true" outlineLevel="0" collapsed="false">
      <c r="A50" s="7" t="s">
        <v>396</v>
      </c>
      <c r="B50" s="7" t="s">
        <v>386</v>
      </c>
      <c r="C50" s="7" t="s">
        <v>397</v>
      </c>
      <c r="D50" s="7" t="s">
        <v>398</v>
      </c>
      <c r="E50" s="7" t="s">
        <v>140</v>
      </c>
      <c r="F50" s="7" t="s">
        <v>148</v>
      </c>
      <c r="G50" s="7" t="s">
        <v>389</v>
      </c>
      <c r="H50" s="7"/>
      <c r="I50" s="7"/>
      <c r="J50" s="7" t="s">
        <v>399</v>
      </c>
      <c r="K50" s="7"/>
      <c r="L50" s="7" t="s">
        <v>134</v>
      </c>
      <c r="M50" s="7" t="s">
        <v>391</v>
      </c>
    </row>
    <row r="51" customFormat="false" ht="15" hidden="false" customHeight="true" outlineLevel="0" collapsed="false">
      <c r="A51" s="7" t="s">
        <v>400</v>
      </c>
      <c r="B51" s="7" t="s">
        <v>386</v>
      </c>
      <c r="C51" s="7" t="s">
        <v>401</v>
      </c>
      <c r="D51" s="7" t="s">
        <v>402</v>
      </c>
      <c r="E51" s="7" t="s">
        <v>140</v>
      </c>
      <c r="F51" s="7" t="s">
        <v>403</v>
      </c>
      <c r="G51" s="7" t="s">
        <v>404</v>
      </c>
      <c r="H51" s="7"/>
      <c r="I51" s="7"/>
      <c r="J51" s="7" t="s">
        <v>405</v>
      </c>
      <c r="K51" s="7"/>
      <c r="L51" s="7" t="s">
        <v>134</v>
      </c>
      <c r="M51" s="7" t="s">
        <v>406</v>
      </c>
    </row>
    <row r="52" customFormat="false" ht="26.25" hidden="false" customHeight="true" outlineLevel="0" collapsed="false">
      <c r="A52" s="7" t="s">
        <v>407</v>
      </c>
      <c r="B52" s="7" t="s">
        <v>386</v>
      </c>
      <c r="C52" s="7" t="s">
        <v>408</v>
      </c>
      <c r="D52" s="7" t="s">
        <v>409</v>
      </c>
      <c r="E52" s="7" t="s">
        <v>140</v>
      </c>
      <c r="F52" s="7" t="s">
        <v>148</v>
      </c>
      <c r="G52" s="7" t="s">
        <v>410</v>
      </c>
      <c r="H52" s="7"/>
      <c r="I52" s="7"/>
      <c r="J52" s="7" t="s">
        <v>411</v>
      </c>
      <c r="K52" s="7"/>
      <c r="L52" s="7" t="s">
        <v>134</v>
      </c>
      <c r="M52" s="7" t="s">
        <v>412</v>
      </c>
    </row>
    <row r="53" customFormat="false" ht="26.25" hidden="false" customHeight="true" outlineLevel="0" collapsed="false">
      <c r="A53" s="7" t="s">
        <v>413</v>
      </c>
      <c r="B53" s="7" t="s">
        <v>386</v>
      </c>
      <c r="C53" s="7" t="s">
        <v>414</v>
      </c>
      <c r="D53" s="7" t="s">
        <v>415</v>
      </c>
      <c r="E53" s="7" t="s">
        <v>140</v>
      </c>
      <c r="F53" s="7" t="s">
        <v>148</v>
      </c>
      <c r="G53" s="7" t="s">
        <v>416</v>
      </c>
      <c r="H53" s="7"/>
      <c r="I53" s="7"/>
      <c r="J53" s="7" t="s">
        <v>417</v>
      </c>
      <c r="K53" s="7"/>
      <c r="L53" s="7" t="s">
        <v>134</v>
      </c>
      <c r="M53" s="7" t="s">
        <v>418</v>
      </c>
    </row>
    <row r="54" customFormat="false" ht="26.25" hidden="false" customHeight="true" outlineLevel="0" collapsed="false">
      <c r="A54" s="7" t="s">
        <v>419</v>
      </c>
      <c r="B54" s="7" t="s">
        <v>386</v>
      </c>
      <c r="C54" s="7" t="s">
        <v>420</v>
      </c>
      <c r="D54" s="7" t="s">
        <v>421</v>
      </c>
      <c r="E54" s="7" t="s">
        <v>140</v>
      </c>
      <c r="F54" s="7" t="s">
        <v>422</v>
      </c>
      <c r="G54" s="7" t="s">
        <v>423</v>
      </c>
      <c r="H54" s="7"/>
      <c r="I54" s="7"/>
      <c r="J54" s="7" t="s">
        <v>424</v>
      </c>
      <c r="K54" s="7"/>
      <c r="L54" s="7" t="s">
        <v>134</v>
      </c>
      <c r="M54" s="7" t="s">
        <v>425</v>
      </c>
    </row>
    <row r="55" customFormat="false" ht="15" hidden="false" customHeight="true" outlineLevel="0" collapsed="false">
      <c r="A55" s="7" t="s">
        <v>426</v>
      </c>
      <c r="B55" s="7" t="s">
        <v>386</v>
      </c>
      <c r="C55" s="7" t="s">
        <v>427</v>
      </c>
      <c r="D55" s="7" t="s">
        <v>428</v>
      </c>
      <c r="E55" s="7" t="s">
        <v>140</v>
      </c>
      <c r="F55" s="7" t="s">
        <v>422</v>
      </c>
      <c r="G55" s="7" t="s">
        <v>429</v>
      </c>
      <c r="H55" s="7"/>
      <c r="I55" s="7"/>
      <c r="J55" s="7" t="s">
        <v>430</v>
      </c>
      <c r="K55" s="7"/>
      <c r="L55" s="10" t="s">
        <v>164</v>
      </c>
      <c r="M55" s="7" t="s">
        <v>431</v>
      </c>
    </row>
    <row r="56" customFormat="false" ht="15" hidden="false" customHeight="true" outlineLevel="0" collapsed="false">
      <c r="A56" s="7" t="s">
        <v>432</v>
      </c>
      <c r="B56" s="7" t="s">
        <v>386</v>
      </c>
      <c r="C56" s="7" t="s">
        <v>433</v>
      </c>
      <c r="D56" s="7" t="s">
        <v>434</v>
      </c>
      <c r="E56" s="7" t="s">
        <v>140</v>
      </c>
      <c r="F56" s="7" t="s">
        <v>422</v>
      </c>
      <c r="G56" s="7" t="s">
        <v>435</v>
      </c>
      <c r="H56" s="7"/>
      <c r="I56" s="7"/>
      <c r="J56" s="7" t="s">
        <v>436</v>
      </c>
      <c r="K56" s="7"/>
      <c r="L56" s="7" t="s">
        <v>134</v>
      </c>
      <c r="M56" s="7" t="s">
        <v>437</v>
      </c>
    </row>
    <row r="57" customFormat="false" ht="15" hidden="false" customHeight="true" outlineLevel="0" collapsed="false">
      <c r="A57" s="7" t="s">
        <v>438</v>
      </c>
      <c r="B57" s="7" t="s">
        <v>386</v>
      </c>
      <c r="C57" s="7" t="s">
        <v>439</v>
      </c>
      <c r="D57" s="7" t="s">
        <v>439</v>
      </c>
      <c r="E57" s="7" t="s">
        <v>128</v>
      </c>
      <c r="F57" s="7" t="s">
        <v>129</v>
      </c>
      <c r="G57" s="7" t="s">
        <v>440</v>
      </c>
      <c r="H57" s="7"/>
      <c r="I57" s="7"/>
      <c r="J57" s="7" t="s">
        <v>441</v>
      </c>
      <c r="K57" s="7"/>
      <c r="L57" s="7" t="s">
        <v>134</v>
      </c>
      <c r="M57" s="7" t="s">
        <v>442</v>
      </c>
    </row>
    <row r="58" customFormat="false" ht="26.25" hidden="false" customHeight="true" outlineLevel="0" collapsed="false">
      <c r="A58" s="7" t="s">
        <v>443</v>
      </c>
      <c r="B58" s="7" t="s">
        <v>386</v>
      </c>
      <c r="C58" s="7" t="s">
        <v>444</v>
      </c>
      <c r="D58" s="7" t="s">
        <v>445</v>
      </c>
      <c r="E58" s="7" t="s">
        <v>128</v>
      </c>
      <c r="F58" s="7" t="s">
        <v>129</v>
      </c>
      <c r="G58" s="7" t="s">
        <v>446</v>
      </c>
      <c r="H58" s="7"/>
      <c r="I58" s="7"/>
      <c r="J58" s="7" t="s">
        <v>447</v>
      </c>
      <c r="K58" s="7"/>
      <c r="L58" s="7" t="s">
        <v>134</v>
      </c>
      <c r="M58" s="7"/>
    </row>
    <row r="59" customFormat="false" ht="26.25" hidden="false" customHeight="true" outlineLevel="0" collapsed="false">
      <c r="A59" s="7" t="s">
        <v>448</v>
      </c>
      <c r="B59" s="7" t="s">
        <v>386</v>
      </c>
      <c r="C59" s="7" t="s">
        <v>449</v>
      </c>
      <c r="D59" s="7" t="s">
        <v>450</v>
      </c>
      <c r="E59" s="7" t="s">
        <v>128</v>
      </c>
      <c r="F59" s="7" t="s">
        <v>129</v>
      </c>
      <c r="G59" s="7" t="s">
        <v>451</v>
      </c>
      <c r="H59" s="7"/>
      <c r="I59" s="7"/>
      <c r="J59" s="7" t="s">
        <v>452</v>
      </c>
      <c r="K59" s="7"/>
      <c r="L59" s="10" t="s">
        <v>164</v>
      </c>
      <c r="M59" s="7" t="s">
        <v>453</v>
      </c>
    </row>
    <row r="60" customFormat="false" ht="15" hidden="false" customHeight="true" outlineLevel="0" collapsed="false">
      <c r="A60" s="7" t="s">
        <v>454</v>
      </c>
      <c r="B60" s="7" t="s">
        <v>386</v>
      </c>
      <c r="C60" s="7" t="s">
        <v>455</v>
      </c>
      <c r="D60" s="7" t="s">
        <v>456</v>
      </c>
      <c r="E60" s="7" t="s">
        <v>128</v>
      </c>
      <c r="F60" s="7" t="s">
        <v>129</v>
      </c>
      <c r="G60" s="7" t="s">
        <v>451</v>
      </c>
      <c r="H60" s="7"/>
      <c r="I60" s="7"/>
      <c r="J60" s="7" t="s">
        <v>457</v>
      </c>
      <c r="K60" s="7"/>
      <c r="L60" s="10" t="s">
        <v>164</v>
      </c>
      <c r="M60" s="7" t="s">
        <v>458</v>
      </c>
    </row>
    <row r="61" customFormat="false" ht="15" hidden="false" customHeight="true" outlineLevel="0" collapsed="false">
      <c r="A61" s="7" t="s">
        <v>459</v>
      </c>
      <c r="B61" s="7" t="s">
        <v>460</v>
      </c>
      <c r="C61" s="7" t="s">
        <v>461</v>
      </c>
      <c r="D61" s="7" t="s">
        <v>462</v>
      </c>
      <c r="E61" s="7" t="s">
        <v>128</v>
      </c>
      <c r="F61" s="7" t="s">
        <v>129</v>
      </c>
      <c r="G61" s="7" t="s">
        <v>463</v>
      </c>
      <c r="H61" s="7"/>
      <c r="I61" s="7"/>
      <c r="J61" s="7" t="s">
        <v>464</v>
      </c>
      <c r="K61" s="7"/>
      <c r="L61" s="7" t="s">
        <v>134</v>
      </c>
      <c r="M61" s="7" t="s">
        <v>465</v>
      </c>
    </row>
    <row r="62" customFormat="false" ht="64.5" hidden="false" customHeight="true" outlineLevel="0" collapsed="false">
      <c r="A62" s="7" t="s">
        <v>466</v>
      </c>
      <c r="B62" s="7" t="s">
        <v>460</v>
      </c>
      <c r="C62" s="7" t="s">
        <v>467</v>
      </c>
      <c r="D62" s="7" t="s">
        <v>468</v>
      </c>
      <c r="E62" s="7" t="s">
        <v>128</v>
      </c>
      <c r="F62" s="7" t="s">
        <v>129</v>
      </c>
      <c r="G62" s="7" t="s">
        <v>469</v>
      </c>
      <c r="H62" s="7"/>
      <c r="I62" s="7"/>
      <c r="J62" s="7" t="s">
        <v>470</v>
      </c>
      <c r="K62" s="7"/>
      <c r="L62" s="7" t="s">
        <v>134</v>
      </c>
      <c r="M62" s="7"/>
    </row>
    <row r="63" customFormat="false" ht="26.25" hidden="false" customHeight="true" outlineLevel="0" collapsed="false">
      <c r="A63" s="7" t="s">
        <v>471</v>
      </c>
      <c r="B63" s="7" t="s">
        <v>460</v>
      </c>
      <c r="C63" s="7" t="s">
        <v>472</v>
      </c>
      <c r="D63" s="7" t="s">
        <v>473</v>
      </c>
      <c r="E63" s="7" t="s">
        <v>140</v>
      </c>
      <c r="F63" s="7" t="s">
        <v>474</v>
      </c>
      <c r="G63" s="7" t="s">
        <v>475</v>
      </c>
      <c r="H63" s="7"/>
      <c r="I63" s="7"/>
      <c r="J63" s="7" t="s">
        <v>476</v>
      </c>
      <c r="K63" s="7"/>
      <c r="L63" s="7" t="s">
        <v>134</v>
      </c>
      <c r="M63" s="7"/>
    </row>
    <row r="64" customFormat="false" ht="15" hidden="false" customHeight="true" outlineLevel="0" collapsed="false">
      <c r="A64" s="7" t="s">
        <v>477</v>
      </c>
      <c r="B64" s="7" t="s">
        <v>460</v>
      </c>
      <c r="C64" s="7" t="s">
        <v>478</v>
      </c>
      <c r="D64" s="7" t="s">
        <v>479</v>
      </c>
      <c r="E64" s="7" t="s">
        <v>128</v>
      </c>
      <c r="F64" s="7" t="s">
        <v>129</v>
      </c>
      <c r="G64" s="7" t="s">
        <v>480</v>
      </c>
      <c r="H64" s="7"/>
      <c r="I64" s="7"/>
      <c r="J64" s="7" t="s">
        <v>481</v>
      </c>
      <c r="K64" s="7"/>
      <c r="L64" s="7" t="s">
        <v>134</v>
      </c>
      <c r="M64" s="7"/>
    </row>
    <row r="65" customFormat="false" ht="26.25" hidden="false" customHeight="true" outlineLevel="0" collapsed="false">
      <c r="A65" s="7" t="s">
        <v>482</v>
      </c>
      <c r="B65" s="7" t="s">
        <v>460</v>
      </c>
      <c r="C65" s="7" t="s">
        <v>483</v>
      </c>
      <c r="D65" s="7" t="s">
        <v>484</v>
      </c>
      <c r="E65" s="7" t="s">
        <v>128</v>
      </c>
      <c r="F65" s="7" t="s">
        <v>129</v>
      </c>
      <c r="G65" s="7" t="s">
        <v>485</v>
      </c>
      <c r="H65" s="7"/>
      <c r="I65" s="7"/>
      <c r="J65" s="7" t="s">
        <v>486</v>
      </c>
      <c r="K65" s="7"/>
      <c r="L65" s="7" t="s">
        <v>134</v>
      </c>
      <c r="M65" s="7"/>
    </row>
    <row r="66" customFormat="false" ht="26.25" hidden="false" customHeight="true" outlineLevel="0" collapsed="false">
      <c r="A66" s="7" t="s">
        <v>487</v>
      </c>
      <c r="B66" s="7" t="s">
        <v>386</v>
      </c>
      <c r="C66" s="7" t="s">
        <v>488</v>
      </c>
      <c r="D66" s="7" t="s">
        <v>489</v>
      </c>
      <c r="E66" s="7" t="s">
        <v>140</v>
      </c>
      <c r="F66" s="7" t="s">
        <v>490</v>
      </c>
      <c r="G66" s="7" t="s">
        <v>491</v>
      </c>
      <c r="H66" s="7"/>
      <c r="I66" s="7"/>
      <c r="J66" s="7" t="s">
        <v>492</v>
      </c>
      <c r="K66" s="7"/>
      <c r="L66" s="7" t="s">
        <v>134</v>
      </c>
      <c r="M66" s="7"/>
    </row>
    <row r="67" customFormat="false" ht="26.25" hidden="false" customHeight="true" outlineLevel="0" collapsed="false">
      <c r="A67" s="7" t="s">
        <v>493</v>
      </c>
      <c r="B67" s="7" t="s">
        <v>386</v>
      </c>
      <c r="C67" s="7" t="s">
        <v>494</v>
      </c>
      <c r="D67" s="7" t="s">
        <v>495</v>
      </c>
      <c r="E67" s="7" t="s">
        <v>140</v>
      </c>
      <c r="F67" s="7" t="s">
        <v>148</v>
      </c>
      <c r="G67" s="7" t="s">
        <v>416</v>
      </c>
      <c r="H67" s="7"/>
      <c r="I67" s="7"/>
      <c r="J67" s="7" t="s">
        <v>496</v>
      </c>
      <c r="K67" s="7"/>
      <c r="L67" s="7" t="s">
        <v>134</v>
      </c>
      <c r="M67" s="7"/>
    </row>
    <row r="68" customFormat="false" ht="26.25" hidden="false" customHeight="true" outlineLevel="0" collapsed="false">
      <c r="A68" s="7" t="s">
        <v>497</v>
      </c>
      <c r="B68" s="7" t="s">
        <v>286</v>
      </c>
      <c r="C68" s="7" t="s">
        <v>498</v>
      </c>
      <c r="D68" s="7" t="s">
        <v>499</v>
      </c>
      <c r="E68" s="7" t="s">
        <v>140</v>
      </c>
      <c r="F68" s="7" t="s">
        <v>141</v>
      </c>
      <c r="G68" s="7" t="s">
        <v>500</v>
      </c>
      <c r="H68" s="7"/>
      <c r="I68" s="7"/>
      <c r="J68" s="7" t="s">
        <v>501</v>
      </c>
      <c r="K68" s="7"/>
      <c r="L68" s="7" t="s">
        <v>134</v>
      </c>
      <c r="M68" s="7" t="s">
        <v>502</v>
      </c>
    </row>
    <row r="69" customFormat="false" ht="15" hidden="false" customHeight="true" outlineLevel="0" collapsed="false">
      <c r="A69" s="7" t="s">
        <v>503</v>
      </c>
      <c r="B69" s="7" t="s">
        <v>286</v>
      </c>
      <c r="C69" s="7" t="s">
        <v>504</v>
      </c>
      <c r="D69" s="7" t="s">
        <v>505</v>
      </c>
      <c r="E69" s="7" t="s">
        <v>128</v>
      </c>
      <c r="F69" s="7" t="s">
        <v>129</v>
      </c>
      <c r="G69" s="7" t="s">
        <v>506</v>
      </c>
      <c r="H69" s="7"/>
      <c r="I69" s="7"/>
      <c r="J69" s="7" t="s">
        <v>507</v>
      </c>
      <c r="K69" s="7"/>
      <c r="L69" s="7" t="s">
        <v>134</v>
      </c>
      <c r="M69" s="7"/>
    </row>
    <row r="70" customFormat="false" ht="15" hidden="false" customHeight="true" outlineLevel="0" collapsed="false">
      <c r="A70" s="7" t="s">
        <v>508</v>
      </c>
      <c r="B70" s="7" t="s">
        <v>509</v>
      </c>
      <c r="C70" s="7" t="s">
        <v>510</v>
      </c>
      <c r="D70" s="7" t="s">
        <v>511</v>
      </c>
      <c r="E70" s="7" t="s">
        <v>128</v>
      </c>
      <c r="F70" s="7" t="s">
        <v>129</v>
      </c>
      <c r="G70" s="7" t="s">
        <v>509</v>
      </c>
      <c r="H70" s="7"/>
      <c r="I70" s="7"/>
      <c r="J70" s="7" t="s">
        <v>512</v>
      </c>
      <c r="K70" s="7"/>
      <c r="L70" s="7" t="s">
        <v>134</v>
      </c>
      <c r="M70" s="7" t="s">
        <v>513</v>
      </c>
    </row>
    <row r="71" customFormat="false" ht="26.25" hidden="false" customHeight="true" outlineLevel="0" collapsed="false">
      <c r="A71" s="7" t="s">
        <v>514</v>
      </c>
      <c r="B71" s="7" t="s">
        <v>460</v>
      </c>
      <c r="C71" s="7" t="s">
        <v>515</v>
      </c>
      <c r="D71" s="7" t="s">
        <v>515</v>
      </c>
      <c r="E71" s="7" t="s">
        <v>140</v>
      </c>
      <c r="F71" s="7" t="s">
        <v>148</v>
      </c>
      <c r="G71" s="7" t="s">
        <v>516</v>
      </c>
      <c r="H71" s="7"/>
      <c r="I71" s="7"/>
      <c r="J71" s="7" t="s">
        <v>517</v>
      </c>
      <c r="K71" s="7"/>
      <c r="L71" s="7" t="s">
        <v>134</v>
      </c>
      <c r="M71" s="7" t="s">
        <v>518</v>
      </c>
    </row>
    <row r="72" customFormat="false" ht="15" hidden="false" customHeight="true" outlineLevel="0" collapsed="false">
      <c r="A72" s="7" t="s">
        <v>519</v>
      </c>
      <c r="B72" s="7" t="s">
        <v>460</v>
      </c>
      <c r="C72" s="7" t="s">
        <v>520</v>
      </c>
      <c r="D72" s="7" t="s">
        <v>521</v>
      </c>
      <c r="E72" s="7" t="s">
        <v>140</v>
      </c>
      <c r="F72" s="7" t="s">
        <v>490</v>
      </c>
      <c r="G72" s="7" t="s">
        <v>522</v>
      </c>
      <c r="H72" s="7"/>
      <c r="I72" s="7"/>
      <c r="J72" s="7" t="s">
        <v>523</v>
      </c>
      <c r="K72" s="7"/>
      <c r="L72" s="7" t="s">
        <v>134</v>
      </c>
      <c r="M72" s="7"/>
    </row>
    <row r="73" customFormat="false" ht="15" hidden="false" customHeight="true" outlineLevel="0" collapsed="false">
      <c r="A73" s="7" t="s">
        <v>524</v>
      </c>
      <c r="B73" s="7" t="s">
        <v>286</v>
      </c>
      <c r="C73" s="7" t="s">
        <v>525</v>
      </c>
      <c r="D73" s="7" t="s">
        <v>526</v>
      </c>
      <c r="E73" s="7" t="s">
        <v>140</v>
      </c>
      <c r="F73" s="7" t="s">
        <v>327</v>
      </c>
      <c r="G73" s="7" t="s">
        <v>527</v>
      </c>
      <c r="H73" s="7"/>
      <c r="I73" s="7"/>
      <c r="J73" s="7" t="s">
        <v>528</v>
      </c>
      <c r="K73" s="7"/>
      <c r="L73" s="7" t="s">
        <v>134</v>
      </c>
      <c r="M73" s="7"/>
    </row>
    <row r="74" customFormat="false" ht="26.25" hidden="false" customHeight="true" outlineLevel="0" collapsed="false">
      <c r="A74" s="7" t="s">
        <v>529</v>
      </c>
      <c r="B74" s="7" t="s">
        <v>286</v>
      </c>
      <c r="C74" s="7" t="s">
        <v>530</v>
      </c>
      <c r="D74" s="7" t="s">
        <v>531</v>
      </c>
      <c r="E74" s="7" t="s">
        <v>140</v>
      </c>
      <c r="F74" s="7" t="s">
        <v>327</v>
      </c>
      <c r="G74" s="7" t="s">
        <v>506</v>
      </c>
      <c r="H74" s="7"/>
      <c r="I74" s="7" t="s">
        <v>532</v>
      </c>
      <c r="J74" s="7" t="s">
        <v>533</v>
      </c>
      <c r="K74" s="7"/>
      <c r="L74" s="7" t="s">
        <v>134</v>
      </c>
      <c r="M74" s="7" t="s">
        <v>534</v>
      </c>
    </row>
    <row r="75" customFormat="false" ht="64.5" hidden="false" customHeight="true" outlineLevel="0" collapsed="false">
      <c r="A75" s="7" t="s">
        <v>535</v>
      </c>
      <c r="B75" s="7" t="s">
        <v>286</v>
      </c>
      <c r="C75" s="7" t="s">
        <v>536</v>
      </c>
      <c r="D75" s="7" t="s">
        <v>537</v>
      </c>
      <c r="E75" s="7" t="s">
        <v>140</v>
      </c>
      <c r="F75" s="7" t="s">
        <v>327</v>
      </c>
      <c r="G75" s="7" t="s">
        <v>506</v>
      </c>
      <c r="H75" s="7"/>
      <c r="I75" s="7"/>
      <c r="J75" s="7" t="s">
        <v>538</v>
      </c>
      <c r="K75" s="7"/>
      <c r="L75" s="7" t="s">
        <v>134</v>
      </c>
      <c r="M75" s="7"/>
    </row>
    <row r="76" customFormat="false" ht="15" hidden="false" customHeight="true" outlineLevel="0" collapsed="false">
      <c r="A76" s="7" t="s">
        <v>539</v>
      </c>
      <c r="B76" s="7" t="s">
        <v>286</v>
      </c>
      <c r="C76" s="7" t="s">
        <v>540</v>
      </c>
      <c r="D76" s="7" t="s">
        <v>541</v>
      </c>
      <c r="E76" s="7" t="s">
        <v>140</v>
      </c>
      <c r="F76" s="7" t="s">
        <v>327</v>
      </c>
      <c r="G76" s="7" t="s">
        <v>542</v>
      </c>
      <c r="H76" s="7"/>
      <c r="I76" s="7"/>
      <c r="J76" s="7" t="s">
        <v>543</v>
      </c>
      <c r="K76" s="7"/>
      <c r="L76" s="7" t="s">
        <v>134</v>
      </c>
      <c r="M76" s="7"/>
    </row>
    <row r="77" customFormat="false" ht="26.25" hidden="false" customHeight="true" outlineLevel="0" collapsed="false">
      <c r="A77" s="7" t="s">
        <v>544</v>
      </c>
      <c r="B77" s="7" t="s">
        <v>286</v>
      </c>
      <c r="C77" s="7" t="s">
        <v>545</v>
      </c>
      <c r="D77" s="7" t="s">
        <v>546</v>
      </c>
      <c r="E77" s="7" t="s">
        <v>128</v>
      </c>
      <c r="F77" s="7" t="s">
        <v>129</v>
      </c>
      <c r="G77" s="7" t="s">
        <v>547</v>
      </c>
      <c r="H77" s="7"/>
      <c r="I77" s="7"/>
      <c r="J77" s="7" t="s">
        <v>548</v>
      </c>
      <c r="K77" s="7"/>
      <c r="L77" s="7" t="s">
        <v>134</v>
      </c>
      <c r="M77" s="7" t="s">
        <v>549</v>
      </c>
    </row>
    <row r="78" customFormat="false" ht="26.25" hidden="false" customHeight="true" outlineLevel="0" collapsed="false">
      <c r="A78" s="7" t="s">
        <v>550</v>
      </c>
      <c r="B78" s="7" t="s">
        <v>286</v>
      </c>
      <c r="C78" s="7" t="s">
        <v>105</v>
      </c>
      <c r="D78" s="7" t="s">
        <v>551</v>
      </c>
      <c r="E78" s="7" t="s">
        <v>140</v>
      </c>
      <c r="F78" s="7" t="s">
        <v>169</v>
      </c>
      <c r="G78" s="7" t="s">
        <v>552</v>
      </c>
      <c r="H78" s="7"/>
      <c r="I78" s="7" t="s">
        <v>553</v>
      </c>
      <c r="J78" s="7" t="s">
        <v>554</v>
      </c>
      <c r="K78" s="7"/>
      <c r="L78" s="7" t="s">
        <v>134</v>
      </c>
      <c r="M78" s="7" t="s">
        <v>555</v>
      </c>
    </row>
    <row r="79" customFormat="false" ht="39.55" hidden="false" customHeight="false" outlineLevel="0" collapsed="false">
      <c r="A79" s="7" t="s">
        <v>556</v>
      </c>
      <c r="B79" s="7" t="s">
        <v>286</v>
      </c>
      <c r="C79" s="7" t="s">
        <v>557</v>
      </c>
      <c r="D79" s="7" t="s">
        <v>558</v>
      </c>
      <c r="E79" s="7" t="s">
        <v>140</v>
      </c>
      <c r="F79" s="7" t="s">
        <v>169</v>
      </c>
      <c r="G79" s="7" t="s">
        <v>559</v>
      </c>
      <c r="H79" s="7"/>
      <c r="I79" s="7"/>
      <c r="J79" s="7" t="s">
        <v>560</v>
      </c>
      <c r="K79" s="7"/>
      <c r="L79" s="7" t="s">
        <v>134</v>
      </c>
      <c r="M79" s="7"/>
    </row>
    <row r="80" customFormat="false" ht="39.55" hidden="false" customHeight="false" outlineLevel="0" collapsed="false">
      <c r="A80" s="7" t="s">
        <v>561</v>
      </c>
      <c r="B80" s="7" t="s">
        <v>286</v>
      </c>
      <c r="C80" s="7" t="s">
        <v>562</v>
      </c>
      <c r="D80" s="7" t="s">
        <v>563</v>
      </c>
      <c r="E80" s="7" t="s">
        <v>140</v>
      </c>
      <c r="F80" s="7" t="s">
        <v>169</v>
      </c>
      <c r="G80" s="7" t="s">
        <v>559</v>
      </c>
      <c r="H80" s="7"/>
      <c r="I80" s="7"/>
      <c r="J80" s="7" t="s">
        <v>564</v>
      </c>
      <c r="K80" s="7"/>
      <c r="L80" s="7" t="s">
        <v>134</v>
      </c>
      <c r="M80" s="7"/>
    </row>
    <row r="81" customFormat="false" ht="39.55" hidden="false" customHeight="false" outlineLevel="0" collapsed="false">
      <c r="A81" s="7" t="s">
        <v>565</v>
      </c>
      <c r="B81" s="7" t="s">
        <v>286</v>
      </c>
      <c r="C81" s="7" t="s">
        <v>566</v>
      </c>
      <c r="D81" s="7" t="s">
        <v>567</v>
      </c>
      <c r="E81" s="7" t="s">
        <v>140</v>
      </c>
      <c r="F81" s="7" t="s">
        <v>169</v>
      </c>
      <c r="G81" s="7" t="s">
        <v>559</v>
      </c>
      <c r="H81" s="7"/>
      <c r="I81" s="7"/>
      <c r="J81" s="7" t="s">
        <v>568</v>
      </c>
      <c r="K81" s="7"/>
      <c r="L81" s="7" t="s">
        <v>134</v>
      </c>
      <c r="M81" s="7"/>
    </row>
    <row r="82" customFormat="false" ht="39.55" hidden="false" customHeight="false" outlineLevel="0" collapsed="false">
      <c r="A82" s="7" t="s">
        <v>569</v>
      </c>
      <c r="B82" s="7" t="s">
        <v>286</v>
      </c>
      <c r="C82" s="7" t="s">
        <v>570</v>
      </c>
      <c r="D82" s="7" t="s">
        <v>571</v>
      </c>
      <c r="E82" s="7" t="s">
        <v>140</v>
      </c>
      <c r="F82" s="7" t="s">
        <v>169</v>
      </c>
      <c r="G82" s="7" t="s">
        <v>559</v>
      </c>
      <c r="H82" s="7"/>
      <c r="I82" s="7"/>
      <c r="J82" s="7" t="s">
        <v>572</v>
      </c>
      <c r="K82" s="7"/>
      <c r="L82" s="7" t="s">
        <v>134</v>
      </c>
      <c r="M82" s="7"/>
    </row>
    <row r="83" customFormat="false" ht="26.85" hidden="false" customHeight="false" outlineLevel="0" collapsed="false">
      <c r="A83" s="7" t="s">
        <v>573</v>
      </c>
      <c r="B83" s="7" t="s">
        <v>286</v>
      </c>
      <c r="C83" s="7" t="s">
        <v>574</v>
      </c>
      <c r="D83" s="7" t="s">
        <v>575</v>
      </c>
      <c r="E83" s="7" t="s">
        <v>140</v>
      </c>
      <c r="F83" s="7" t="s">
        <v>169</v>
      </c>
      <c r="G83" s="7" t="s">
        <v>559</v>
      </c>
      <c r="H83" s="7"/>
      <c r="I83" s="7"/>
      <c r="J83" s="7" t="s">
        <v>576</v>
      </c>
      <c r="K83" s="7"/>
      <c r="L83" s="7" t="s">
        <v>134</v>
      </c>
      <c r="M83" s="7"/>
    </row>
    <row r="84" customFormat="false" ht="39.55" hidden="false" customHeight="false" outlineLevel="0" collapsed="false">
      <c r="A84" s="7" t="s">
        <v>577</v>
      </c>
      <c r="B84" s="7" t="s">
        <v>286</v>
      </c>
      <c r="C84" s="7" t="s">
        <v>578</v>
      </c>
      <c r="D84" s="7" t="s">
        <v>579</v>
      </c>
      <c r="E84" s="7" t="s">
        <v>140</v>
      </c>
      <c r="F84" s="7" t="s">
        <v>169</v>
      </c>
      <c r="G84" s="7" t="s">
        <v>559</v>
      </c>
      <c r="H84" s="7"/>
      <c r="I84" s="7"/>
      <c r="J84" s="7" t="s">
        <v>580</v>
      </c>
      <c r="K84" s="7"/>
      <c r="L84" s="7" t="s">
        <v>134</v>
      </c>
      <c r="M84" s="7"/>
    </row>
    <row r="85" customFormat="false" ht="39.55" hidden="false" customHeight="false" outlineLevel="0" collapsed="false">
      <c r="A85" s="7" t="s">
        <v>581</v>
      </c>
      <c r="B85" s="7" t="s">
        <v>286</v>
      </c>
      <c r="C85" s="7" t="s">
        <v>582</v>
      </c>
      <c r="D85" s="7" t="s">
        <v>583</v>
      </c>
      <c r="E85" s="7" t="s">
        <v>140</v>
      </c>
      <c r="F85" s="7" t="s">
        <v>169</v>
      </c>
      <c r="G85" s="7" t="s">
        <v>559</v>
      </c>
      <c r="H85" s="7"/>
      <c r="I85" s="7"/>
      <c r="J85" s="7" t="s">
        <v>584</v>
      </c>
      <c r="K85" s="7"/>
      <c r="L85" s="7" t="s">
        <v>134</v>
      </c>
      <c r="M85" s="7"/>
    </row>
    <row r="86" customFormat="false" ht="26.85" hidden="false" customHeight="false" outlineLevel="0" collapsed="false">
      <c r="A86" s="7" t="s">
        <v>585</v>
      </c>
      <c r="B86" s="7" t="s">
        <v>286</v>
      </c>
      <c r="C86" s="7" t="s">
        <v>586</v>
      </c>
      <c r="D86" s="7" t="s">
        <v>587</v>
      </c>
      <c r="E86" s="7" t="s">
        <v>140</v>
      </c>
      <c r="F86" s="7" t="s">
        <v>169</v>
      </c>
      <c r="G86" s="7" t="s">
        <v>588</v>
      </c>
      <c r="H86" s="7"/>
      <c r="I86" s="7"/>
      <c r="J86" s="7" t="s">
        <v>589</v>
      </c>
      <c r="K86" s="7"/>
      <c r="L86" s="7" t="s">
        <v>134</v>
      </c>
      <c r="M86" s="7" t="s">
        <v>590</v>
      </c>
    </row>
    <row r="87" customFormat="false" ht="26.85" hidden="false" customHeight="false" outlineLevel="0" collapsed="false">
      <c r="A87" s="7" t="s">
        <v>591</v>
      </c>
      <c r="B87" s="7" t="s">
        <v>286</v>
      </c>
      <c r="C87" s="7" t="s">
        <v>592</v>
      </c>
      <c r="D87" s="7" t="s">
        <v>593</v>
      </c>
      <c r="E87" s="7" t="s">
        <v>140</v>
      </c>
      <c r="F87" s="7" t="s">
        <v>169</v>
      </c>
      <c r="G87" s="7" t="s">
        <v>588</v>
      </c>
      <c r="H87" s="7"/>
      <c r="I87" s="7"/>
      <c r="J87" s="7" t="s">
        <v>594</v>
      </c>
      <c r="K87" s="7"/>
      <c r="L87" s="7" t="s">
        <v>134</v>
      </c>
      <c r="M87" s="7" t="s">
        <v>595</v>
      </c>
    </row>
    <row r="88" customFormat="false" ht="26.85" hidden="false" customHeight="false" outlineLevel="0" collapsed="false">
      <c r="A88" s="7" t="s">
        <v>596</v>
      </c>
      <c r="B88" s="7" t="s">
        <v>286</v>
      </c>
      <c r="C88" s="7" t="s">
        <v>597</v>
      </c>
      <c r="D88" s="7" t="s">
        <v>598</v>
      </c>
      <c r="E88" s="7" t="s">
        <v>140</v>
      </c>
      <c r="F88" s="7" t="s">
        <v>169</v>
      </c>
      <c r="G88" s="7" t="s">
        <v>552</v>
      </c>
      <c r="H88" s="7"/>
      <c r="I88" s="7"/>
      <c r="J88" s="7" t="s">
        <v>599</v>
      </c>
      <c r="K88" s="7"/>
      <c r="L88" s="7" t="s">
        <v>134</v>
      </c>
      <c r="M88" s="7"/>
    </row>
    <row r="89" customFormat="false" ht="26.85" hidden="false" customHeight="false" outlineLevel="0" collapsed="false">
      <c r="A89" s="7" t="s">
        <v>600</v>
      </c>
      <c r="B89" s="7" t="s">
        <v>286</v>
      </c>
      <c r="C89" s="7" t="s">
        <v>601</v>
      </c>
      <c r="D89" s="7" t="s">
        <v>602</v>
      </c>
      <c r="E89" s="7" t="s">
        <v>140</v>
      </c>
      <c r="F89" s="7" t="s">
        <v>169</v>
      </c>
      <c r="G89" s="7" t="s">
        <v>552</v>
      </c>
      <c r="H89" s="7"/>
      <c r="I89" s="7"/>
      <c r="J89" s="7" t="s">
        <v>603</v>
      </c>
      <c r="K89" s="7"/>
      <c r="L89" s="7" t="s">
        <v>134</v>
      </c>
      <c r="M89" s="7"/>
    </row>
    <row r="90" customFormat="false" ht="52.2" hidden="false" customHeight="false" outlineLevel="0" collapsed="false">
      <c r="A90" s="7" t="s">
        <v>604</v>
      </c>
      <c r="B90" s="7" t="s">
        <v>286</v>
      </c>
      <c r="C90" s="7" t="s">
        <v>605</v>
      </c>
      <c r="D90" s="7" t="s">
        <v>606</v>
      </c>
      <c r="E90" s="7" t="s">
        <v>140</v>
      </c>
      <c r="F90" s="7" t="s">
        <v>169</v>
      </c>
      <c r="G90" s="7" t="s">
        <v>588</v>
      </c>
      <c r="H90" s="7"/>
      <c r="I90" s="7" t="s">
        <v>607</v>
      </c>
      <c r="J90" s="7" t="s">
        <v>608</v>
      </c>
      <c r="K90" s="7"/>
      <c r="L90" s="7" t="s">
        <v>134</v>
      </c>
      <c r="M90" s="7"/>
    </row>
    <row r="91" customFormat="false" ht="26.85" hidden="false" customHeight="false" outlineLevel="0" collapsed="false">
      <c r="A91" s="7" t="s">
        <v>609</v>
      </c>
      <c r="B91" s="7" t="s">
        <v>610</v>
      </c>
      <c r="C91" s="7" t="s">
        <v>611</v>
      </c>
      <c r="D91" s="7" t="s">
        <v>611</v>
      </c>
      <c r="E91" s="7" t="s">
        <v>128</v>
      </c>
      <c r="F91" s="7" t="s">
        <v>129</v>
      </c>
      <c r="G91" s="7" t="s">
        <v>612</v>
      </c>
      <c r="H91" s="7"/>
      <c r="I91" s="7"/>
      <c r="J91" s="7" t="s">
        <v>613</v>
      </c>
      <c r="K91" s="7"/>
      <c r="L91" s="7" t="s">
        <v>134</v>
      </c>
      <c r="M91" s="7" t="s">
        <v>614</v>
      </c>
    </row>
    <row r="92" customFormat="false" ht="26.85" hidden="false" customHeight="false" outlineLevel="0" collapsed="false">
      <c r="A92" s="7" t="s">
        <v>615</v>
      </c>
      <c r="B92" s="7" t="s">
        <v>610</v>
      </c>
      <c r="C92" s="7" t="s">
        <v>616</v>
      </c>
      <c r="D92" s="7" t="s">
        <v>617</v>
      </c>
      <c r="E92" s="7" t="s">
        <v>128</v>
      </c>
      <c r="F92" s="7" t="s">
        <v>129</v>
      </c>
      <c r="G92" s="7" t="s">
        <v>612</v>
      </c>
      <c r="H92" s="7"/>
      <c r="I92" s="7"/>
      <c r="J92" s="7" t="s">
        <v>618</v>
      </c>
      <c r="K92" s="7"/>
      <c r="L92" s="7" t="s">
        <v>134</v>
      </c>
      <c r="M92" s="7" t="s">
        <v>619</v>
      </c>
    </row>
  </sheetData>
  <autoFilter ref="A1:M67"/>
  <dataValidations count="1">
    <dataValidation allowBlank="true" errorStyle="stop" operator="between" showDropDown="false" showErrorMessage="false" showInputMessage="false" sqref="L2:L116" type="list">
      <formula1>"draft,to confirm,to complete,reviewed"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46"/>
    <col collapsed="false" customWidth="true" hidden="false" outlineLevel="0" max="6" min="5" style="1" width="13"/>
    <col collapsed="false" customWidth="true" hidden="false" outlineLevel="0" max="7" min="7" style="1" width="8"/>
    <col collapsed="false" customWidth="true" hidden="false" outlineLevel="0" max="8" min="8" style="1" width="3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26.25" hidden="false" customHeight="true" outlineLevel="0" collapsed="false">
      <c r="A1" s="8" t="s">
        <v>620</v>
      </c>
      <c r="B1" s="8" t="s">
        <v>621</v>
      </c>
      <c r="C1" s="8" t="s">
        <v>622</v>
      </c>
      <c r="D1" s="8" t="s">
        <v>623</v>
      </c>
      <c r="E1" s="8" t="s">
        <v>610</v>
      </c>
      <c r="F1" s="8" t="s">
        <v>624</v>
      </c>
      <c r="G1" s="8" t="s">
        <v>625</v>
      </c>
      <c r="H1" s="8" t="s">
        <v>626</v>
      </c>
      <c r="I1" s="8" t="s">
        <v>627</v>
      </c>
      <c r="J1" s="8" t="s">
        <v>122</v>
      </c>
      <c r="K1" s="8" t="s">
        <v>628</v>
      </c>
    </row>
    <row r="2" customFormat="false" ht="15" hidden="false" customHeight="true" outlineLevel="0" collapsed="false">
      <c r="A2" s="9" t="s">
        <v>124</v>
      </c>
      <c r="B2" s="9" t="s">
        <v>629</v>
      </c>
      <c r="C2" s="9" t="s">
        <v>630</v>
      </c>
      <c r="D2" s="9" t="s">
        <v>631</v>
      </c>
      <c r="E2" s="9" t="s">
        <v>632</v>
      </c>
      <c r="F2" s="9"/>
      <c r="G2" s="9"/>
      <c r="H2" s="9" t="s">
        <v>633</v>
      </c>
      <c r="I2" s="9" t="s">
        <v>634</v>
      </c>
      <c r="J2" s="9" t="s">
        <v>134</v>
      </c>
      <c r="K2" s="9" t="s">
        <v>135</v>
      </c>
    </row>
    <row r="3" customFormat="false" ht="15" hidden="false" customHeight="true" outlineLevel="0" collapsed="false">
      <c r="A3" s="7" t="s">
        <v>208</v>
      </c>
      <c r="B3" s="7" t="s">
        <v>635</v>
      </c>
      <c r="C3" s="7" t="s">
        <v>630</v>
      </c>
      <c r="D3" s="7" t="s">
        <v>607</v>
      </c>
      <c r="E3" s="7" t="s">
        <v>636</v>
      </c>
      <c r="F3" s="7"/>
      <c r="G3" s="7"/>
      <c r="H3" s="7"/>
      <c r="I3" s="7" t="s">
        <v>634</v>
      </c>
      <c r="J3" s="7" t="s">
        <v>134</v>
      </c>
      <c r="K3" s="7"/>
    </row>
    <row r="4" customFormat="false" ht="15" hidden="false" customHeight="true" outlineLevel="0" collapsed="false">
      <c r="A4" s="7" t="s">
        <v>213</v>
      </c>
      <c r="B4" s="7" t="s">
        <v>635</v>
      </c>
      <c r="C4" s="7" t="s">
        <v>630</v>
      </c>
      <c r="D4" s="7" t="s">
        <v>607</v>
      </c>
      <c r="E4" s="7" t="s">
        <v>636</v>
      </c>
      <c r="F4" s="7"/>
      <c r="G4" s="7"/>
      <c r="H4" s="7"/>
      <c r="I4" s="7" t="s">
        <v>634</v>
      </c>
      <c r="J4" s="7" t="s">
        <v>134</v>
      </c>
      <c r="K4" s="7"/>
    </row>
    <row r="5" customFormat="false" ht="15" hidden="false" customHeight="true" outlineLevel="0" collapsed="false">
      <c r="A5" s="7" t="s">
        <v>218</v>
      </c>
      <c r="B5" s="7" t="s">
        <v>637</v>
      </c>
      <c r="C5" s="7" t="s">
        <v>630</v>
      </c>
      <c r="D5" s="7" t="s">
        <v>638</v>
      </c>
      <c r="E5" s="7" t="s">
        <v>636</v>
      </c>
      <c r="F5" s="7"/>
      <c r="G5" s="7"/>
      <c r="H5" s="7"/>
      <c r="I5" s="7" t="s">
        <v>634</v>
      </c>
      <c r="J5" s="7" t="s">
        <v>134</v>
      </c>
      <c r="K5" s="7"/>
    </row>
    <row r="6" customFormat="false" ht="15" hidden="false" customHeight="true" outlineLevel="0" collapsed="false">
      <c r="A6" s="7" t="s">
        <v>280</v>
      </c>
      <c r="B6" s="7" t="s">
        <v>637</v>
      </c>
      <c r="C6" s="7" t="s">
        <v>630</v>
      </c>
      <c r="D6" s="7" t="s">
        <v>639</v>
      </c>
      <c r="E6" s="7" t="s">
        <v>636</v>
      </c>
      <c r="F6" s="7"/>
      <c r="G6" s="7"/>
      <c r="H6" s="7"/>
      <c r="I6" s="7" t="s">
        <v>634</v>
      </c>
      <c r="J6" s="7" t="s">
        <v>134</v>
      </c>
      <c r="K6" s="7"/>
    </row>
    <row r="7" customFormat="false" ht="15" hidden="false" customHeight="true" outlineLevel="0" collapsed="false">
      <c r="A7" s="7" t="s">
        <v>223</v>
      </c>
      <c r="B7" s="7" t="s">
        <v>640</v>
      </c>
      <c r="C7" s="7" t="s">
        <v>630</v>
      </c>
      <c r="D7" s="7" t="s">
        <v>641</v>
      </c>
      <c r="E7" s="7" t="s">
        <v>636</v>
      </c>
      <c r="F7" s="7"/>
      <c r="G7" s="7"/>
      <c r="H7" s="7" t="s">
        <v>642</v>
      </c>
      <c r="I7" s="7" t="s">
        <v>634</v>
      </c>
      <c r="J7" s="7" t="s">
        <v>134</v>
      </c>
      <c r="K7" s="7" t="s">
        <v>643</v>
      </c>
    </row>
    <row r="8" customFormat="false" ht="15" hidden="false" customHeight="true" outlineLevel="0" collapsed="false">
      <c r="A8" s="7" t="s">
        <v>223</v>
      </c>
      <c r="B8" s="7" t="s">
        <v>644</v>
      </c>
      <c r="C8" s="7" t="s">
        <v>630</v>
      </c>
      <c r="D8" s="7" t="s">
        <v>645</v>
      </c>
      <c r="E8" s="7" t="s">
        <v>636</v>
      </c>
      <c r="F8" s="7"/>
      <c r="G8" s="7"/>
      <c r="H8" s="7" t="s">
        <v>642</v>
      </c>
      <c r="I8" s="7" t="s">
        <v>634</v>
      </c>
      <c r="J8" s="7" t="s">
        <v>134</v>
      </c>
      <c r="K8" s="7" t="s">
        <v>646</v>
      </c>
    </row>
    <row r="9" customFormat="false" ht="15" hidden="false" customHeight="true" outlineLevel="0" collapsed="false">
      <c r="A9" s="7" t="s">
        <v>230</v>
      </c>
      <c r="B9" s="7" t="s">
        <v>640</v>
      </c>
      <c r="C9" s="7" t="s">
        <v>630</v>
      </c>
      <c r="D9" s="7" t="s">
        <v>647</v>
      </c>
      <c r="E9" s="7" t="s">
        <v>636</v>
      </c>
      <c r="F9" s="7"/>
      <c r="G9" s="7"/>
      <c r="H9" s="7" t="s">
        <v>648</v>
      </c>
      <c r="I9" s="7" t="s">
        <v>634</v>
      </c>
      <c r="J9" s="7" t="s">
        <v>134</v>
      </c>
      <c r="K9" s="7" t="s">
        <v>649</v>
      </c>
    </row>
    <row r="10" customFormat="false" ht="15" hidden="false" customHeight="true" outlineLevel="0" collapsed="false">
      <c r="A10" s="7" t="s">
        <v>230</v>
      </c>
      <c r="B10" s="7" t="s">
        <v>650</v>
      </c>
      <c r="C10" s="7" t="s">
        <v>630</v>
      </c>
      <c r="D10" s="7" t="s">
        <v>651</v>
      </c>
      <c r="E10" s="7" t="s">
        <v>652</v>
      </c>
      <c r="F10" s="7"/>
      <c r="G10" s="7"/>
      <c r="H10" s="7" t="s">
        <v>648</v>
      </c>
      <c r="I10" s="7" t="s">
        <v>634</v>
      </c>
      <c r="J10" s="7" t="s">
        <v>134</v>
      </c>
      <c r="K10" s="7" t="s">
        <v>649</v>
      </c>
    </row>
    <row r="11" customFormat="false" ht="15" hidden="false" customHeight="true" outlineLevel="0" collapsed="false">
      <c r="A11" s="7" t="s">
        <v>236</v>
      </c>
      <c r="B11" s="7" t="s">
        <v>653</v>
      </c>
      <c r="C11" s="7" t="s">
        <v>654</v>
      </c>
      <c r="D11" s="7" t="s">
        <v>655</v>
      </c>
      <c r="E11" s="7"/>
      <c r="F11" s="7" t="s">
        <v>656</v>
      </c>
      <c r="G11" s="7"/>
      <c r="H11" s="7"/>
      <c r="I11" s="7" t="s">
        <v>386</v>
      </c>
      <c r="J11" s="7" t="s">
        <v>134</v>
      </c>
      <c r="K11" s="7" t="s">
        <v>657</v>
      </c>
    </row>
    <row r="12" customFormat="false" ht="15" hidden="false" customHeight="true" outlineLevel="0" collapsed="false">
      <c r="A12" s="7" t="s">
        <v>236</v>
      </c>
      <c r="B12" s="7" t="s">
        <v>658</v>
      </c>
      <c r="C12" s="7" t="s">
        <v>630</v>
      </c>
      <c r="D12" s="7" t="s">
        <v>639</v>
      </c>
      <c r="E12" s="7" t="s">
        <v>636</v>
      </c>
      <c r="F12" s="7"/>
      <c r="G12" s="7"/>
      <c r="H12" s="7"/>
      <c r="I12" s="7" t="s">
        <v>386</v>
      </c>
      <c r="J12" s="7" t="s">
        <v>134</v>
      </c>
      <c r="K12" s="7"/>
    </row>
    <row r="13" customFormat="false" ht="15" hidden="false" customHeight="true" outlineLevel="0" collapsed="false">
      <c r="A13" s="7" t="s">
        <v>241</v>
      </c>
      <c r="B13" s="7" t="s">
        <v>659</v>
      </c>
      <c r="C13" s="7" t="s">
        <v>660</v>
      </c>
      <c r="D13" s="7" t="s">
        <v>661</v>
      </c>
      <c r="E13" s="7"/>
      <c r="F13" s="7"/>
      <c r="G13" s="7" t="s">
        <v>662</v>
      </c>
      <c r="H13" s="7"/>
      <c r="I13" s="7" t="s">
        <v>386</v>
      </c>
      <c r="J13" s="7" t="s">
        <v>134</v>
      </c>
      <c r="K13" s="7"/>
    </row>
    <row r="14" customFormat="false" ht="15" hidden="false" customHeight="true" outlineLevel="0" collapsed="false">
      <c r="A14" s="7" t="s">
        <v>241</v>
      </c>
      <c r="B14" s="7" t="s">
        <v>658</v>
      </c>
      <c r="C14" s="7" t="s">
        <v>630</v>
      </c>
      <c r="D14" s="7" t="s">
        <v>631</v>
      </c>
      <c r="E14" s="7" t="s">
        <v>636</v>
      </c>
      <c r="F14" s="7"/>
      <c r="G14" s="7"/>
      <c r="H14" s="7"/>
      <c r="I14" s="7" t="s">
        <v>386</v>
      </c>
      <c r="J14" s="7" t="s">
        <v>134</v>
      </c>
      <c r="K14" s="7"/>
    </row>
    <row r="15" customFormat="false" ht="15" hidden="false" customHeight="true" outlineLevel="0" collapsed="false">
      <c r="A15" s="7" t="s">
        <v>245</v>
      </c>
      <c r="B15" s="7" t="s">
        <v>663</v>
      </c>
      <c r="C15" s="7" t="s">
        <v>654</v>
      </c>
      <c r="D15" s="7" t="s">
        <v>639</v>
      </c>
      <c r="E15" s="7"/>
      <c r="F15" s="7" t="s">
        <v>664</v>
      </c>
      <c r="G15" s="7"/>
      <c r="H15" s="7"/>
      <c r="I15" s="7" t="s">
        <v>386</v>
      </c>
      <c r="J15" s="7" t="s">
        <v>134</v>
      </c>
      <c r="K15" s="7"/>
    </row>
    <row r="16" customFormat="false" ht="15" hidden="false" customHeight="true" outlineLevel="0" collapsed="false">
      <c r="A16" s="7" t="s">
        <v>245</v>
      </c>
      <c r="B16" s="7" t="s">
        <v>658</v>
      </c>
      <c r="C16" s="7" t="s">
        <v>630</v>
      </c>
      <c r="D16" s="7" t="s">
        <v>607</v>
      </c>
      <c r="E16" s="7" t="s">
        <v>636</v>
      </c>
      <c r="F16" s="7"/>
      <c r="G16" s="7"/>
      <c r="H16" s="7"/>
      <c r="I16" s="7" t="s">
        <v>386</v>
      </c>
      <c r="J16" s="7" t="s">
        <v>134</v>
      </c>
      <c r="K16" s="7"/>
    </row>
    <row r="17" customFormat="false" ht="15" hidden="false" customHeight="true" outlineLevel="0" collapsed="false">
      <c r="A17" s="7" t="s">
        <v>249</v>
      </c>
      <c r="B17" s="7" t="s">
        <v>663</v>
      </c>
      <c r="C17" s="7" t="s">
        <v>660</v>
      </c>
      <c r="D17" s="7" t="s">
        <v>665</v>
      </c>
      <c r="E17" s="7"/>
      <c r="F17" s="7"/>
      <c r="G17" s="7" t="s">
        <v>662</v>
      </c>
      <c r="H17" s="7"/>
      <c r="I17" s="7" t="s">
        <v>386</v>
      </c>
      <c r="J17" s="7" t="s">
        <v>134</v>
      </c>
      <c r="K17" s="7"/>
    </row>
    <row r="18" customFormat="false" ht="15" hidden="false" customHeight="true" outlineLevel="0" collapsed="false">
      <c r="A18" s="7" t="s">
        <v>249</v>
      </c>
      <c r="B18" s="7" t="s">
        <v>658</v>
      </c>
      <c r="C18" s="7" t="s">
        <v>630</v>
      </c>
      <c r="D18" s="7" t="s">
        <v>666</v>
      </c>
      <c r="E18" s="7" t="s">
        <v>636</v>
      </c>
      <c r="F18" s="7"/>
      <c r="G18" s="7"/>
      <c r="H18" s="7"/>
      <c r="I18" s="7" t="s">
        <v>386</v>
      </c>
      <c r="J18" s="10" t="s">
        <v>164</v>
      </c>
      <c r="K18" s="7"/>
    </row>
    <row r="19" customFormat="false" ht="15" hidden="false" customHeight="true" outlineLevel="0" collapsed="false">
      <c r="A19" s="7" t="s">
        <v>254</v>
      </c>
      <c r="B19" s="7" t="s">
        <v>653</v>
      </c>
      <c r="C19" s="7" t="s">
        <v>654</v>
      </c>
      <c r="D19" s="7" t="s">
        <v>639</v>
      </c>
      <c r="E19" s="7"/>
      <c r="F19" s="7" t="s">
        <v>656</v>
      </c>
      <c r="G19" s="7"/>
      <c r="H19" s="7"/>
      <c r="I19" s="7" t="s">
        <v>386</v>
      </c>
      <c r="J19" s="7" t="s">
        <v>134</v>
      </c>
      <c r="K19" s="7" t="s">
        <v>657</v>
      </c>
    </row>
    <row r="20" customFormat="false" ht="15" hidden="false" customHeight="true" outlineLevel="0" collapsed="false">
      <c r="A20" s="7" t="s">
        <v>254</v>
      </c>
      <c r="B20" s="7" t="s">
        <v>658</v>
      </c>
      <c r="C20" s="7" t="s">
        <v>630</v>
      </c>
      <c r="D20" s="7" t="s">
        <v>666</v>
      </c>
      <c r="E20" s="7" t="s">
        <v>636</v>
      </c>
      <c r="F20" s="7"/>
      <c r="G20" s="7"/>
      <c r="H20" s="7"/>
      <c r="I20" s="7" t="s">
        <v>386</v>
      </c>
      <c r="J20" s="7" t="s">
        <v>134</v>
      </c>
      <c r="K20" s="7"/>
    </row>
    <row r="21" customFormat="false" ht="26.25" hidden="false" customHeight="true" outlineLevel="0" collapsed="false">
      <c r="A21" s="7" t="s">
        <v>260</v>
      </c>
      <c r="B21" s="7" t="s">
        <v>667</v>
      </c>
      <c r="C21" s="7" t="s">
        <v>654</v>
      </c>
      <c r="D21" s="7" t="s">
        <v>631</v>
      </c>
      <c r="E21" s="7"/>
      <c r="F21" s="7" t="s">
        <v>656</v>
      </c>
      <c r="G21" s="7"/>
      <c r="H21" s="7"/>
      <c r="I21" s="7" t="s">
        <v>386</v>
      </c>
      <c r="J21" s="7" t="s">
        <v>134</v>
      </c>
      <c r="K21" s="7" t="s">
        <v>657</v>
      </c>
    </row>
    <row r="22" customFormat="false" ht="15" hidden="false" customHeight="true" outlineLevel="0" collapsed="false">
      <c r="A22" s="7" t="s">
        <v>260</v>
      </c>
      <c r="B22" s="7" t="s">
        <v>658</v>
      </c>
      <c r="C22" s="7" t="s">
        <v>630</v>
      </c>
      <c r="D22" s="7" t="s">
        <v>668</v>
      </c>
      <c r="E22" s="7" t="s">
        <v>636</v>
      </c>
      <c r="F22" s="7"/>
      <c r="G22" s="7"/>
      <c r="H22" s="7"/>
      <c r="I22" s="7" t="s">
        <v>386</v>
      </c>
      <c r="J22" s="7" t="s">
        <v>134</v>
      </c>
      <c r="K22" s="7"/>
    </row>
    <row r="23" customFormat="false" ht="15" hidden="false" customHeight="true" outlineLevel="0" collapsed="false">
      <c r="A23" s="7" t="s">
        <v>264</v>
      </c>
      <c r="B23" s="7" t="s">
        <v>669</v>
      </c>
      <c r="C23" s="7" t="s">
        <v>630</v>
      </c>
      <c r="D23" s="7" t="s">
        <v>670</v>
      </c>
      <c r="E23" s="7" t="s">
        <v>636</v>
      </c>
      <c r="F23" s="7"/>
      <c r="G23" s="7"/>
      <c r="H23" s="7"/>
      <c r="I23" s="7" t="s">
        <v>386</v>
      </c>
      <c r="J23" s="7" t="s">
        <v>134</v>
      </c>
      <c r="K23" s="7" t="s">
        <v>671</v>
      </c>
    </row>
    <row r="24" customFormat="false" ht="15" hidden="false" customHeight="true" outlineLevel="0" collapsed="false">
      <c r="A24" s="7" t="s">
        <v>269</v>
      </c>
      <c r="B24" s="7" t="s">
        <v>672</v>
      </c>
      <c r="C24" s="7" t="s">
        <v>630</v>
      </c>
      <c r="D24" s="7" t="s">
        <v>607</v>
      </c>
      <c r="E24" s="7" t="s">
        <v>636</v>
      </c>
      <c r="F24" s="7"/>
      <c r="G24" s="7"/>
      <c r="H24" s="7"/>
      <c r="I24" s="7" t="s">
        <v>634</v>
      </c>
      <c r="J24" s="7" t="s">
        <v>134</v>
      </c>
      <c r="K24" s="7" t="s">
        <v>673</v>
      </c>
    </row>
    <row r="25" customFormat="false" ht="15" hidden="false" customHeight="true" outlineLevel="0" collapsed="false">
      <c r="A25" s="7" t="s">
        <v>285</v>
      </c>
      <c r="B25" s="7" t="s">
        <v>674</v>
      </c>
      <c r="C25" s="7" t="s">
        <v>630</v>
      </c>
      <c r="D25" s="7" t="s">
        <v>675</v>
      </c>
      <c r="E25" s="7" t="s">
        <v>636</v>
      </c>
      <c r="F25" s="7"/>
      <c r="G25" s="7"/>
      <c r="H25" s="7"/>
      <c r="I25" s="7" t="s">
        <v>634</v>
      </c>
      <c r="J25" s="10" t="s">
        <v>164</v>
      </c>
      <c r="K25" s="7" t="s">
        <v>676</v>
      </c>
    </row>
    <row r="26" customFormat="false" ht="15" hidden="false" customHeight="true" outlineLevel="0" collapsed="false">
      <c r="A26" s="7" t="s">
        <v>292</v>
      </c>
      <c r="B26" s="7" t="s">
        <v>644</v>
      </c>
      <c r="C26" s="7" t="s">
        <v>630</v>
      </c>
      <c r="D26" s="7" t="s">
        <v>675</v>
      </c>
      <c r="E26" s="7" t="s">
        <v>636</v>
      </c>
      <c r="F26" s="7"/>
      <c r="G26" s="7"/>
      <c r="H26" s="7"/>
      <c r="I26" s="7" t="s">
        <v>634</v>
      </c>
      <c r="J26" s="7" t="s">
        <v>134</v>
      </c>
      <c r="K26" s="7"/>
    </row>
    <row r="27" customFormat="false" ht="15" hidden="false" customHeight="true" outlineLevel="0" collapsed="false">
      <c r="A27" s="7" t="s">
        <v>297</v>
      </c>
      <c r="B27" s="7" t="s">
        <v>677</v>
      </c>
      <c r="C27" s="7" t="s">
        <v>630</v>
      </c>
      <c r="D27" s="7" t="s">
        <v>675</v>
      </c>
      <c r="E27" s="7" t="s">
        <v>636</v>
      </c>
      <c r="F27" s="7"/>
      <c r="G27" s="7"/>
      <c r="H27" s="7"/>
      <c r="I27" s="7" t="s">
        <v>634</v>
      </c>
      <c r="J27" s="7" t="s">
        <v>134</v>
      </c>
      <c r="K27" s="7"/>
    </row>
    <row r="28" customFormat="false" ht="15" hidden="false" customHeight="true" outlineLevel="0" collapsed="false">
      <c r="A28" s="7" t="s">
        <v>315</v>
      </c>
      <c r="B28" s="7" t="s">
        <v>678</v>
      </c>
      <c r="C28" s="7" t="s">
        <v>660</v>
      </c>
      <c r="D28" s="7" t="s">
        <v>679</v>
      </c>
      <c r="E28" s="7"/>
      <c r="F28" s="7"/>
      <c r="G28" s="7" t="s">
        <v>662</v>
      </c>
      <c r="H28" s="7" t="s">
        <v>680</v>
      </c>
      <c r="I28" s="7" t="s">
        <v>386</v>
      </c>
      <c r="J28" s="7" t="s">
        <v>134</v>
      </c>
      <c r="K28" s="7"/>
    </row>
    <row r="29" customFormat="false" ht="15" hidden="false" customHeight="true" outlineLevel="0" collapsed="false">
      <c r="A29" s="7" t="s">
        <v>320</v>
      </c>
      <c r="B29" s="7" t="s">
        <v>681</v>
      </c>
      <c r="C29" s="7" t="s">
        <v>630</v>
      </c>
      <c r="D29" s="7" t="s">
        <v>607</v>
      </c>
      <c r="E29" s="7" t="s">
        <v>636</v>
      </c>
      <c r="F29" s="7"/>
      <c r="G29" s="7"/>
      <c r="H29" s="7"/>
      <c r="I29" s="7" t="s">
        <v>634</v>
      </c>
      <c r="J29" s="7" t="s">
        <v>134</v>
      </c>
      <c r="K29" s="7"/>
    </row>
    <row r="30" customFormat="false" ht="15" hidden="false" customHeight="true" outlineLevel="0" collapsed="false">
      <c r="A30" s="7" t="s">
        <v>324</v>
      </c>
      <c r="B30" s="7" t="s">
        <v>681</v>
      </c>
      <c r="C30" s="7" t="s">
        <v>630</v>
      </c>
      <c r="D30" s="7" t="s">
        <v>682</v>
      </c>
      <c r="E30" s="7" t="s">
        <v>636</v>
      </c>
      <c r="F30" s="7"/>
      <c r="G30" s="7"/>
      <c r="H30" s="7"/>
      <c r="I30" s="7" t="s">
        <v>634</v>
      </c>
      <c r="J30" s="10" t="s">
        <v>164</v>
      </c>
      <c r="K30" s="7"/>
    </row>
    <row r="31" customFormat="false" ht="39" hidden="false" customHeight="true" outlineLevel="0" collapsed="false">
      <c r="A31" s="7" t="s">
        <v>336</v>
      </c>
      <c r="B31" s="7" t="s">
        <v>683</v>
      </c>
      <c r="C31" s="7" t="s">
        <v>630</v>
      </c>
      <c r="D31" s="7" t="s">
        <v>684</v>
      </c>
      <c r="E31" s="7" t="s">
        <v>636</v>
      </c>
      <c r="F31" s="7"/>
      <c r="G31" s="7"/>
      <c r="H31" s="7"/>
      <c r="I31" s="7" t="s">
        <v>634</v>
      </c>
      <c r="J31" s="7" t="s">
        <v>134</v>
      </c>
      <c r="K31" s="7" t="s">
        <v>685</v>
      </c>
    </row>
    <row r="32" customFormat="false" ht="39" hidden="false" customHeight="true" outlineLevel="0" collapsed="false">
      <c r="A32" s="7" t="s">
        <v>341</v>
      </c>
      <c r="B32" s="7" t="s">
        <v>686</v>
      </c>
      <c r="C32" s="7" t="s">
        <v>630</v>
      </c>
      <c r="D32" s="7" t="s">
        <v>687</v>
      </c>
      <c r="E32" s="7" t="s">
        <v>636</v>
      </c>
      <c r="F32" s="7"/>
      <c r="G32" s="7"/>
      <c r="H32" s="7" t="s">
        <v>688</v>
      </c>
      <c r="I32" s="7" t="s">
        <v>634</v>
      </c>
      <c r="J32" s="7" t="s">
        <v>134</v>
      </c>
      <c r="K32" s="7"/>
    </row>
    <row r="33" customFormat="false" ht="26.25" hidden="false" customHeight="true" outlineLevel="0" collapsed="false">
      <c r="A33" s="7" t="s">
        <v>331</v>
      </c>
      <c r="B33" s="7" t="s">
        <v>689</v>
      </c>
      <c r="C33" s="7" t="s">
        <v>630</v>
      </c>
      <c r="D33" s="7" t="s">
        <v>690</v>
      </c>
      <c r="E33" s="7" t="s">
        <v>636</v>
      </c>
      <c r="F33" s="7"/>
      <c r="G33" s="7"/>
      <c r="H33" s="7" t="s">
        <v>688</v>
      </c>
      <c r="I33" s="7" t="s">
        <v>634</v>
      </c>
      <c r="J33" s="7" t="s">
        <v>134</v>
      </c>
      <c r="K33" s="7" t="s">
        <v>691</v>
      </c>
    </row>
    <row r="34" customFormat="false" ht="26.25" hidden="false" customHeight="true" outlineLevel="0" collapsed="false">
      <c r="A34" s="7" t="s">
        <v>346</v>
      </c>
      <c r="B34" s="7" t="s">
        <v>637</v>
      </c>
      <c r="C34" s="7" t="s">
        <v>630</v>
      </c>
      <c r="D34" s="7" t="s">
        <v>692</v>
      </c>
      <c r="E34" s="7" t="s">
        <v>636</v>
      </c>
      <c r="F34" s="7"/>
      <c r="G34" s="7"/>
      <c r="H34" s="7"/>
      <c r="I34" s="7" t="s">
        <v>634</v>
      </c>
      <c r="J34" s="7" t="s">
        <v>134</v>
      </c>
      <c r="K34" s="7" t="s">
        <v>693</v>
      </c>
    </row>
    <row r="35" customFormat="false" ht="26.25" hidden="false" customHeight="true" outlineLevel="0" collapsed="false">
      <c r="A35" s="7" t="s">
        <v>187</v>
      </c>
      <c r="B35" s="7" t="s">
        <v>681</v>
      </c>
      <c r="C35" s="7" t="s">
        <v>630</v>
      </c>
      <c r="D35" s="7" t="s">
        <v>694</v>
      </c>
      <c r="E35" s="7" t="s">
        <v>636</v>
      </c>
      <c r="F35" s="7"/>
      <c r="G35" s="7"/>
      <c r="H35" s="7"/>
      <c r="I35" s="7" t="s">
        <v>634</v>
      </c>
      <c r="J35" s="7" t="s">
        <v>134</v>
      </c>
      <c r="K35" s="7" t="s">
        <v>695</v>
      </c>
    </row>
    <row r="36" customFormat="false" ht="15" hidden="false" customHeight="true" outlineLevel="0" collapsed="false">
      <c r="A36" s="7" t="s">
        <v>352</v>
      </c>
      <c r="B36" s="7" t="s">
        <v>696</v>
      </c>
      <c r="C36" s="7" t="s">
        <v>630</v>
      </c>
      <c r="D36" s="7" t="s">
        <v>697</v>
      </c>
      <c r="E36" s="7" t="s">
        <v>636</v>
      </c>
      <c r="F36" s="7"/>
      <c r="G36" s="7"/>
      <c r="H36" s="7"/>
      <c r="I36" s="7" t="s">
        <v>386</v>
      </c>
      <c r="J36" s="7" t="s">
        <v>134</v>
      </c>
      <c r="K36" s="7"/>
    </row>
    <row r="37" customFormat="false" ht="15" hidden="false" customHeight="true" outlineLevel="0" collapsed="false">
      <c r="A37" s="7" t="s">
        <v>352</v>
      </c>
      <c r="B37" s="7" t="s">
        <v>698</v>
      </c>
      <c r="C37" s="7" t="s">
        <v>630</v>
      </c>
      <c r="D37" s="7" t="s">
        <v>697</v>
      </c>
      <c r="E37" s="7" t="s">
        <v>636</v>
      </c>
      <c r="F37" s="7"/>
      <c r="G37" s="7"/>
      <c r="H37" s="7"/>
      <c r="I37" s="7" t="s">
        <v>386</v>
      </c>
      <c r="J37" s="7" t="s">
        <v>134</v>
      </c>
      <c r="K37" s="7"/>
    </row>
    <row r="38" customFormat="false" ht="15" hidden="false" customHeight="true" outlineLevel="0" collapsed="false">
      <c r="A38" s="7" t="s">
        <v>358</v>
      </c>
      <c r="B38" s="7" t="s">
        <v>653</v>
      </c>
      <c r="C38" s="7" t="s">
        <v>654</v>
      </c>
      <c r="D38" s="7" t="s">
        <v>638</v>
      </c>
      <c r="E38" s="7"/>
      <c r="F38" s="7" t="s">
        <v>664</v>
      </c>
      <c r="G38" s="7"/>
      <c r="H38" s="7"/>
      <c r="I38" s="7" t="s">
        <v>386</v>
      </c>
      <c r="J38" s="7" t="s">
        <v>134</v>
      </c>
      <c r="K38" s="7"/>
    </row>
    <row r="39" customFormat="false" ht="15" hidden="false" customHeight="true" outlineLevel="0" collapsed="false">
      <c r="A39" s="7" t="s">
        <v>358</v>
      </c>
      <c r="B39" s="7" t="s">
        <v>699</v>
      </c>
      <c r="C39" s="7" t="s">
        <v>654</v>
      </c>
      <c r="D39" s="7" t="s">
        <v>639</v>
      </c>
      <c r="E39" s="7"/>
      <c r="F39" s="7" t="s">
        <v>664</v>
      </c>
      <c r="G39" s="7"/>
      <c r="H39" s="7"/>
      <c r="I39" s="7" t="s">
        <v>386</v>
      </c>
      <c r="J39" s="7" t="s">
        <v>134</v>
      </c>
      <c r="K39" s="7"/>
    </row>
    <row r="40" customFormat="false" ht="15" hidden="false" customHeight="true" outlineLevel="0" collapsed="false">
      <c r="A40" s="7" t="s">
        <v>358</v>
      </c>
      <c r="B40" s="7" t="s">
        <v>663</v>
      </c>
      <c r="C40" s="7" t="s">
        <v>654</v>
      </c>
      <c r="D40" s="7" t="s">
        <v>639</v>
      </c>
      <c r="E40" s="7"/>
      <c r="F40" s="7" t="s">
        <v>664</v>
      </c>
      <c r="G40" s="7"/>
      <c r="H40" s="7"/>
      <c r="I40" s="7" t="s">
        <v>386</v>
      </c>
      <c r="J40" s="7" t="s">
        <v>134</v>
      </c>
      <c r="K40" s="7"/>
    </row>
    <row r="41" customFormat="false" ht="15" hidden="false" customHeight="true" outlineLevel="0" collapsed="false">
      <c r="A41" s="7" t="s">
        <v>358</v>
      </c>
      <c r="B41" s="7" t="s">
        <v>700</v>
      </c>
      <c r="C41" s="7" t="s">
        <v>654</v>
      </c>
      <c r="D41" s="7" t="s">
        <v>639</v>
      </c>
      <c r="E41" s="7"/>
      <c r="F41" s="7" t="s">
        <v>664</v>
      </c>
      <c r="G41" s="7"/>
      <c r="H41" s="7"/>
      <c r="I41" s="7" t="s">
        <v>386</v>
      </c>
      <c r="J41" s="7" t="s">
        <v>134</v>
      </c>
      <c r="K41" s="7"/>
    </row>
    <row r="42" customFormat="false" ht="15" hidden="false" customHeight="true" outlineLevel="0" collapsed="false">
      <c r="A42" s="7" t="s">
        <v>373</v>
      </c>
      <c r="B42" s="7" t="s">
        <v>701</v>
      </c>
      <c r="C42" s="7" t="s">
        <v>630</v>
      </c>
      <c r="D42" s="7" t="s">
        <v>702</v>
      </c>
      <c r="E42" s="7" t="s">
        <v>636</v>
      </c>
      <c r="F42" s="7"/>
      <c r="G42" s="7"/>
      <c r="H42" s="7" t="s">
        <v>703</v>
      </c>
      <c r="I42" s="7" t="s">
        <v>634</v>
      </c>
      <c r="J42" s="10" t="s">
        <v>164</v>
      </c>
      <c r="K42" s="7"/>
    </row>
    <row r="43" customFormat="false" ht="15" hidden="false" customHeight="true" outlineLevel="0" collapsed="false">
      <c r="A43" s="7" t="s">
        <v>200</v>
      </c>
      <c r="B43" s="7" t="s">
        <v>704</v>
      </c>
      <c r="C43" s="7" t="s">
        <v>630</v>
      </c>
      <c r="D43" s="7" t="s">
        <v>638</v>
      </c>
      <c r="E43" s="7" t="s">
        <v>636</v>
      </c>
      <c r="F43" s="7"/>
      <c r="G43" s="7"/>
      <c r="H43" s="7"/>
      <c r="I43" s="7" t="s">
        <v>460</v>
      </c>
      <c r="J43" s="10" t="s">
        <v>164</v>
      </c>
      <c r="K43" s="7" t="s">
        <v>705</v>
      </c>
    </row>
    <row r="44" customFormat="false" ht="26.25" hidden="false" customHeight="true" outlineLevel="0" collapsed="false">
      <c r="A44" s="7" t="s">
        <v>385</v>
      </c>
      <c r="B44" s="7" t="s">
        <v>629</v>
      </c>
      <c r="C44" s="7" t="s">
        <v>630</v>
      </c>
      <c r="D44" s="7" t="s">
        <v>631</v>
      </c>
      <c r="E44" s="7" t="s">
        <v>706</v>
      </c>
      <c r="F44" s="7"/>
      <c r="G44" s="7"/>
      <c r="H44" s="7" t="s">
        <v>707</v>
      </c>
      <c r="I44" s="7" t="s">
        <v>634</v>
      </c>
      <c r="J44" s="7" t="s">
        <v>134</v>
      </c>
      <c r="K44" s="7" t="s">
        <v>708</v>
      </c>
    </row>
    <row r="45" customFormat="false" ht="26.25" hidden="false" customHeight="true" outlineLevel="0" collapsed="false">
      <c r="A45" s="7" t="s">
        <v>392</v>
      </c>
      <c r="B45" s="7" t="s">
        <v>709</v>
      </c>
      <c r="C45" s="7" t="s">
        <v>630</v>
      </c>
      <c r="D45" s="7" t="s">
        <v>631</v>
      </c>
      <c r="E45" s="7" t="s">
        <v>706</v>
      </c>
      <c r="F45" s="7"/>
      <c r="G45" s="7"/>
      <c r="H45" s="7" t="s">
        <v>710</v>
      </c>
      <c r="I45" s="7" t="s">
        <v>634</v>
      </c>
      <c r="J45" s="7" t="s">
        <v>134</v>
      </c>
      <c r="K45" s="7" t="s">
        <v>708</v>
      </c>
    </row>
    <row r="46" customFormat="false" ht="26.25" hidden="false" customHeight="true" outlineLevel="0" collapsed="false">
      <c r="A46" s="7" t="s">
        <v>396</v>
      </c>
      <c r="B46" s="7" t="s">
        <v>711</v>
      </c>
      <c r="C46" s="7" t="s">
        <v>630</v>
      </c>
      <c r="D46" s="7" t="s">
        <v>631</v>
      </c>
      <c r="E46" s="7" t="s">
        <v>706</v>
      </c>
      <c r="F46" s="7"/>
      <c r="G46" s="7"/>
      <c r="H46" s="7" t="s">
        <v>712</v>
      </c>
      <c r="I46" s="7" t="s">
        <v>634</v>
      </c>
      <c r="J46" s="7" t="s">
        <v>134</v>
      </c>
      <c r="K46" s="7" t="s">
        <v>708</v>
      </c>
    </row>
    <row r="47" customFormat="false" ht="15" hidden="false" customHeight="true" outlineLevel="0" collapsed="false">
      <c r="A47" s="7" t="s">
        <v>400</v>
      </c>
      <c r="B47" s="7" t="s">
        <v>713</v>
      </c>
      <c r="C47" s="7" t="s">
        <v>630</v>
      </c>
      <c r="D47" s="7" t="s">
        <v>714</v>
      </c>
      <c r="E47" s="7" t="s">
        <v>715</v>
      </c>
      <c r="F47" s="7"/>
      <c r="G47" s="7"/>
      <c r="H47" s="7" t="s">
        <v>716</v>
      </c>
      <c r="I47" s="7" t="s">
        <v>634</v>
      </c>
      <c r="J47" s="7" t="s">
        <v>134</v>
      </c>
      <c r="K47" s="7" t="s">
        <v>717</v>
      </c>
    </row>
    <row r="48" customFormat="false" ht="15" hidden="false" customHeight="true" outlineLevel="0" collapsed="false">
      <c r="A48" s="7" t="s">
        <v>400</v>
      </c>
      <c r="B48" s="7" t="s">
        <v>718</v>
      </c>
      <c r="C48" s="7" t="s">
        <v>630</v>
      </c>
      <c r="D48" s="7" t="s">
        <v>714</v>
      </c>
      <c r="E48" s="7" t="s">
        <v>715</v>
      </c>
      <c r="F48" s="7"/>
      <c r="G48" s="7"/>
      <c r="H48" s="7" t="s">
        <v>716</v>
      </c>
      <c r="I48" s="7" t="s">
        <v>634</v>
      </c>
      <c r="J48" s="7" t="s">
        <v>134</v>
      </c>
      <c r="K48" s="7" t="s">
        <v>717</v>
      </c>
    </row>
    <row r="49" customFormat="false" ht="26.25" hidden="false" customHeight="true" outlineLevel="0" collapsed="false">
      <c r="A49" s="7" t="s">
        <v>407</v>
      </c>
      <c r="B49" s="7" t="s">
        <v>719</v>
      </c>
      <c r="C49" s="7" t="s">
        <v>630</v>
      </c>
      <c r="D49" s="7" t="s">
        <v>720</v>
      </c>
      <c r="E49" s="7" t="s">
        <v>706</v>
      </c>
      <c r="F49" s="7"/>
      <c r="G49" s="7"/>
      <c r="H49" s="7" t="s">
        <v>721</v>
      </c>
      <c r="I49" s="7" t="s">
        <v>634</v>
      </c>
      <c r="J49" s="7" t="s">
        <v>134</v>
      </c>
      <c r="K49" s="7"/>
    </row>
    <row r="50" customFormat="false" ht="15" hidden="false" customHeight="true" outlineLevel="0" collapsed="false">
      <c r="A50" s="7" t="s">
        <v>413</v>
      </c>
      <c r="B50" s="7" t="s">
        <v>650</v>
      </c>
      <c r="C50" s="7" t="s">
        <v>630</v>
      </c>
      <c r="D50" s="7" t="s">
        <v>639</v>
      </c>
      <c r="E50" s="7" t="s">
        <v>722</v>
      </c>
      <c r="F50" s="7"/>
      <c r="G50" s="7"/>
      <c r="H50" s="7" t="s">
        <v>723</v>
      </c>
      <c r="I50" s="7" t="s">
        <v>634</v>
      </c>
      <c r="J50" s="7" t="s">
        <v>134</v>
      </c>
      <c r="K50" s="7" t="s">
        <v>724</v>
      </c>
    </row>
    <row r="51" customFormat="false" ht="15" hidden="false" customHeight="true" outlineLevel="0" collapsed="false">
      <c r="A51" s="7" t="s">
        <v>413</v>
      </c>
      <c r="B51" s="7" t="s">
        <v>725</v>
      </c>
      <c r="C51" s="7" t="s">
        <v>630</v>
      </c>
      <c r="D51" s="7" t="s">
        <v>639</v>
      </c>
      <c r="E51" s="7" t="s">
        <v>726</v>
      </c>
      <c r="F51" s="7"/>
      <c r="G51" s="7"/>
      <c r="H51" s="7" t="s">
        <v>727</v>
      </c>
      <c r="I51" s="7" t="s">
        <v>634</v>
      </c>
      <c r="J51" s="7" t="s">
        <v>134</v>
      </c>
      <c r="K51" s="7" t="s">
        <v>728</v>
      </c>
    </row>
    <row r="52" customFormat="false" ht="15" hidden="false" customHeight="true" outlineLevel="0" collapsed="false">
      <c r="A52" s="7" t="s">
        <v>438</v>
      </c>
      <c r="B52" s="7" t="s">
        <v>653</v>
      </c>
      <c r="C52" s="7" t="s">
        <v>729</v>
      </c>
      <c r="D52" s="7" t="s">
        <v>730</v>
      </c>
      <c r="E52" s="7"/>
      <c r="F52" s="7"/>
      <c r="G52" s="7"/>
      <c r="H52" s="7"/>
      <c r="I52" s="7" t="s">
        <v>386</v>
      </c>
      <c r="J52" s="7" t="s">
        <v>134</v>
      </c>
      <c r="K52" s="7" t="s">
        <v>731</v>
      </c>
    </row>
    <row r="53" customFormat="false" ht="15" hidden="false" customHeight="true" outlineLevel="0" collapsed="false">
      <c r="A53" s="7" t="s">
        <v>443</v>
      </c>
      <c r="B53" s="7" t="s">
        <v>653</v>
      </c>
      <c r="C53" s="7" t="s">
        <v>729</v>
      </c>
      <c r="D53" s="7" t="s">
        <v>732</v>
      </c>
      <c r="E53" s="7"/>
      <c r="F53" s="7"/>
      <c r="G53" s="7"/>
      <c r="H53" s="7"/>
      <c r="I53" s="7" t="s">
        <v>386</v>
      </c>
      <c r="J53" s="7" t="s">
        <v>134</v>
      </c>
      <c r="K53" s="7" t="s">
        <v>733</v>
      </c>
    </row>
    <row r="54" customFormat="false" ht="15" hidden="false" customHeight="true" outlineLevel="0" collapsed="false">
      <c r="A54" s="7" t="s">
        <v>448</v>
      </c>
      <c r="B54" s="7" t="s">
        <v>699</v>
      </c>
      <c r="C54" s="7" t="s">
        <v>630</v>
      </c>
      <c r="D54" s="7" t="s">
        <v>734</v>
      </c>
      <c r="E54" s="7" t="s">
        <v>636</v>
      </c>
      <c r="F54" s="7"/>
      <c r="G54" s="7"/>
      <c r="H54" s="7"/>
      <c r="I54" s="7" t="s">
        <v>386</v>
      </c>
      <c r="J54" s="7" t="s">
        <v>134</v>
      </c>
      <c r="K54" s="7"/>
    </row>
    <row r="55" customFormat="false" ht="15" hidden="false" customHeight="true" outlineLevel="0" collapsed="false">
      <c r="A55" s="7" t="s">
        <v>454</v>
      </c>
      <c r="B55" s="7" t="s">
        <v>735</v>
      </c>
      <c r="C55" s="7" t="s">
        <v>630</v>
      </c>
      <c r="D55" s="7" t="s">
        <v>736</v>
      </c>
      <c r="E55" s="7" t="s">
        <v>636</v>
      </c>
      <c r="F55" s="7"/>
      <c r="G55" s="7"/>
      <c r="H55" s="7"/>
      <c r="I55" s="7" t="s">
        <v>386</v>
      </c>
      <c r="J55" s="7" t="s">
        <v>134</v>
      </c>
      <c r="K55" s="7"/>
    </row>
    <row r="56" customFormat="false" ht="26.25" hidden="false" customHeight="true" outlineLevel="0" collapsed="false">
      <c r="A56" s="7" t="s">
        <v>459</v>
      </c>
      <c r="B56" s="7" t="s">
        <v>737</v>
      </c>
      <c r="C56" s="7" t="s">
        <v>630</v>
      </c>
      <c r="D56" s="7" t="s">
        <v>738</v>
      </c>
      <c r="E56" s="7" t="s">
        <v>706</v>
      </c>
      <c r="F56" s="7"/>
      <c r="G56" s="7"/>
      <c r="H56" s="7"/>
      <c r="I56" s="7" t="s">
        <v>460</v>
      </c>
      <c r="J56" s="7" t="s">
        <v>134</v>
      </c>
      <c r="K56" s="7"/>
    </row>
    <row r="57" customFormat="false" ht="26.25" hidden="false" customHeight="true" outlineLevel="0" collapsed="false">
      <c r="A57" s="7" t="s">
        <v>459</v>
      </c>
      <c r="B57" s="7" t="s">
        <v>739</v>
      </c>
      <c r="C57" s="7" t="s">
        <v>630</v>
      </c>
      <c r="D57" s="7" t="s">
        <v>738</v>
      </c>
      <c r="E57" s="7" t="s">
        <v>706</v>
      </c>
      <c r="F57" s="7"/>
      <c r="G57" s="7"/>
      <c r="H57" s="7"/>
      <c r="I57" s="7" t="s">
        <v>460</v>
      </c>
      <c r="J57" s="7" t="s">
        <v>134</v>
      </c>
      <c r="K57" s="7"/>
    </row>
    <row r="58" customFormat="false" ht="26.25" hidden="false" customHeight="true" outlineLevel="0" collapsed="false">
      <c r="A58" s="7" t="s">
        <v>459</v>
      </c>
      <c r="B58" s="7" t="s">
        <v>704</v>
      </c>
      <c r="C58" s="7" t="s">
        <v>630</v>
      </c>
      <c r="D58" s="7" t="s">
        <v>638</v>
      </c>
      <c r="E58" s="7" t="s">
        <v>636</v>
      </c>
      <c r="F58" s="7"/>
      <c r="G58" s="7"/>
      <c r="H58" s="7"/>
      <c r="I58" s="7" t="s">
        <v>460</v>
      </c>
      <c r="J58" s="7" t="s">
        <v>134</v>
      </c>
      <c r="K58" s="7" t="s">
        <v>740</v>
      </c>
    </row>
    <row r="59" customFormat="false" ht="15" hidden="false" customHeight="true" outlineLevel="0" collapsed="false">
      <c r="A59" s="7" t="s">
        <v>459</v>
      </c>
      <c r="B59" s="7" t="s">
        <v>741</v>
      </c>
      <c r="C59" s="7" t="s">
        <v>660</v>
      </c>
      <c r="D59" s="7" t="s">
        <v>742</v>
      </c>
      <c r="E59" s="7"/>
      <c r="F59" s="7"/>
      <c r="G59" s="7" t="s">
        <v>743</v>
      </c>
      <c r="H59" s="7"/>
      <c r="I59" s="7" t="s">
        <v>460</v>
      </c>
      <c r="J59" s="7" t="s">
        <v>134</v>
      </c>
      <c r="K59" s="7"/>
    </row>
    <row r="60" customFormat="false" ht="15" hidden="false" customHeight="true" outlineLevel="0" collapsed="false">
      <c r="A60" s="7" t="s">
        <v>466</v>
      </c>
      <c r="B60" s="7" t="s">
        <v>744</v>
      </c>
      <c r="C60" s="7" t="s">
        <v>660</v>
      </c>
      <c r="D60" s="7" t="s">
        <v>745</v>
      </c>
      <c r="E60" s="7"/>
      <c r="F60" s="7"/>
      <c r="G60" s="7" t="s">
        <v>743</v>
      </c>
      <c r="H60" s="7"/>
      <c r="I60" s="7" t="s">
        <v>634</v>
      </c>
      <c r="J60" s="7" t="s">
        <v>134</v>
      </c>
      <c r="K60" s="7" t="s">
        <v>746</v>
      </c>
    </row>
    <row r="61" customFormat="false" ht="15" hidden="false" customHeight="true" outlineLevel="0" collapsed="false">
      <c r="A61" s="7" t="s">
        <v>466</v>
      </c>
      <c r="B61" s="7" t="s">
        <v>747</v>
      </c>
      <c r="C61" s="7" t="s">
        <v>748</v>
      </c>
      <c r="D61" s="7" t="s">
        <v>697</v>
      </c>
      <c r="E61" s="7"/>
      <c r="F61" s="7"/>
      <c r="G61" s="7"/>
      <c r="H61" s="7"/>
      <c r="I61" s="7" t="s">
        <v>634</v>
      </c>
      <c r="J61" s="7" t="s">
        <v>134</v>
      </c>
      <c r="K61" s="7"/>
    </row>
    <row r="62" customFormat="false" ht="15" hidden="false" customHeight="true" outlineLevel="0" collapsed="false">
      <c r="A62" s="7" t="s">
        <v>471</v>
      </c>
      <c r="B62" s="7" t="s">
        <v>725</v>
      </c>
      <c r="C62" s="7" t="s">
        <v>630</v>
      </c>
      <c r="D62" s="7" t="s">
        <v>738</v>
      </c>
      <c r="E62" s="7" t="s">
        <v>726</v>
      </c>
      <c r="F62" s="7"/>
      <c r="G62" s="7"/>
      <c r="H62" s="7"/>
      <c r="I62" s="7" t="s">
        <v>634</v>
      </c>
      <c r="J62" s="7" t="s">
        <v>134</v>
      </c>
      <c r="K62" s="7"/>
    </row>
    <row r="63" customFormat="false" ht="15" hidden="false" customHeight="true" outlineLevel="0" collapsed="false">
      <c r="A63" s="7" t="s">
        <v>482</v>
      </c>
      <c r="B63" s="7" t="s">
        <v>704</v>
      </c>
      <c r="C63" s="7" t="s">
        <v>630</v>
      </c>
      <c r="D63" s="7" t="s">
        <v>631</v>
      </c>
      <c r="E63" s="7" t="s">
        <v>636</v>
      </c>
      <c r="F63" s="7"/>
      <c r="G63" s="7"/>
      <c r="H63" s="7"/>
      <c r="I63" s="7" t="s">
        <v>460</v>
      </c>
      <c r="J63" s="7" t="s">
        <v>134</v>
      </c>
      <c r="K63" s="7"/>
    </row>
    <row r="64" customFormat="false" ht="15" hidden="false" customHeight="true" outlineLevel="0" collapsed="false">
      <c r="A64" s="7" t="s">
        <v>482</v>
      </c>
      <c r="B64" s="7" t="s">
        <v>741</v>
      </c>
      <c r="C64" s="7" t="s">
        <v>630</v>
      </c>
      <c r="D64" s="7" t="s">
        <v>631</v>
      </c>
      <c r="E64" s="7" t="s">
        <v>636</v>
      </c>
      <c r="F64" s="7"/>
      <c r="G64" s="7"/>
      <c r="H64" s="7"/>
      <c r="I64" s="7" t="s">
        <v>460</v>
      </c>
      <c r="J64" s="7" t="s">
        <v>134</v>
      </c>
      <c r="K64" s="7"/>
    </row>
    <row r="65" customFormat="false" ht="26.25" hidden="false" customHeight="true" outlineLevel="0" collapsed="false">
      <c r="A65" s="7" t="s">
        <v>274</v>
      </c>
      <c r="B65" s="7" t="s">
        <v>681</v>
      </c>
      <c r="C65" s="7" t="s">
        <v>630</v>
      </c>
      <c r="D65" s="7" t="s">
        <v>631</v>
      </c>
      <c r="E65" s="7" t="s">
        <v>636</v>
      </c>
      <c r="F65" s="7"/>
      <c r="G65" s="7"/>
      <c r="H65" s="7"/>
      <c r="I65" s="7" t="s">
        <v>634</v>
      </c>
      <c r="J65" s="10" t="s">
        <v>164</v>
      </c>
      <c r="K65" s="7" t="s">
        <v>749</v>
      </c>
    </row>
    <row r="66" customFormat="false" ht="15" hidden="false" customHeight="true" outlineLevel="0" collapsed="false">
      <c r="A66" s="7" t="s">
        <v>368</v>
      </c>
      <c r="B66" s="7" t="s">
        <v>672</v>
      </c>
      <c r="C66" s="7" t="s">
        <v>630</v>
      </c>
      <c r="D66" s="7" t="s">
        <v>607</v>
      </c>
      <c r="E66" s="7" t="s">
        <v>636</v>
      </c>
      <c r="F66" s="7"/>
      <c r="G66" s="7"/>
      <c r="H66" s="7"/>
      <c r="I66" s="7" t="s">
        <v>634</v>
      </c>
      <c r="J66" s="7" t="s">
        <v>134</v>
      </c>
      <c r="K66" s="7" t="s">
        <v>750</v>
      </c>
    </row>
    <row r="67" customFormat="false" ht="26.25" hidden="false" customHeight="true" outlineLevel="0" collapsed="false">
      <c r="A67" s="7" t="s">
        <v>487</v>
      </c>
      <c r="B67" s="7" t="s">
        <v>751</v>
      </c>
      <c r="C67" s="7" t="s">
        <v>660</v>
      </c>
      <c r="D67" s="7" t="s">
        <v>752</v>
      </c>
      <c r="E67" s="7"/>
      <c r="F67" s="7"/>
      <c r="G67" s="7" t="s">
        <v>743</v>
      </c>
      <c r="H67" s="7" t="s">
        <v>753</v>
      </c>
      <c r="I67" s="7" t="s">
        <v>634</v>
      </c>
      <c r="J67" s="7" t="s">
        <v>134</v>
      </c>
      <c r="K67" s="7" t="s">
        <v>754</v>
      </c>
    </row>
    <row r="68" customFormat="false" ht="15" hidden="false" customHeight="true" outlineLevel="0" collapsed="false">
      <c r="A68" s="7" t="s">
        <v>493</v>
      </c>
      <c r="B68" s="7" t="s">
        <v>755</v>
      </c>
      <c r="C68" s="7" t="s">
        <v>660</v>
      </c>
      <c r="D68" s="7" t="s">
        <v>756</v>
      </c>
      <c r="E68" s="7"/>
      <c r="F68" s="7"/>
      <c r="G68" s="7" t="s">
        <v>743</v>
      </c>
      <c r="H68" s="7" t="s">
        <v>757</v>
      </c>
      <c r="I68" s="7" t="s">
        <v>634</v>
      </c>
      <c r="J68" s="7" t="s">
        <v>134</v>
      </c>
      <c r="K68" s="7" t="s">
        <v>758</v>
      </c>
    </row>
    <row r="69" customFormat="false" ht="15" hidden="false" customHeight="true" outlineLevel="0" collapsed="false">
      <c r="A69" s="7" t="s">
        <v>426</v>
      </c>
      <c r="B69" s="7" t="s">
        <v>629</v>
      </c>
      <c r="C69" s="7" t="s">
        <v>630</v>
      </c>
      <c r="D69" s="7" t="s">
        <v>631</v>
      </c>
      <c r="E69" s="7" t="s">
        <v>164</v>
      </c>
      <c r="F69" s="7"/>
      <c r="G69" s="7"/>
      <c r="H69" s="7" t="s">
        <v>759</v>
      </c>
      <c r="I69" s="7" t="s">
        <v>634</v>
      </c>
      <c r="J69" s="10" t="s">
        <v>164</v>
      </c>
      <c r="K69" s="7" t="s">
        <v>760</v>
      </c>
    </row>
    <row r="70" customFormat="false" ht="15" hidden="false" customHeight="true" outlineLevel="0" collapsed="false">
      <c r="A70" s="7" t="s">
        <v>426</v>
      </c>
      <c r="B70" s="7" t="s">
        <v>761</v>
      </c>
      <c r="C70" s="7" t="s">
        <v>630</v>
      </c>
      <c r="D70" s="7" t="s">
        <v>631</v>
      </c>
      <c r="E70" s="7" t="s">
        <v>164</v>
      </c>
      <c r="F70" s="7"/>
      <c r="G70" s="7"/>
      <c r="H70" s="7" t="s">
        <v>759</v>
      </c>
      <c r="I70" s="7" t="s">
        <v>634</v>
      </c>
      <c r="J70" s="10" t="s">
        <v>164</v>
      </c>
      <c r="K70" s="7" t="s">
        <v>760</v>
      </c>
    </row>
    <row r="71" customFormat="false" ht="15" hidden="false" customHeight="true" outlineLevel="0" collapsed="false">
      <c r="A71" s="7" t="s">
        <v>426</v>
      </c>
      <c r="B71" s="7" t="s">
        <v>709</v>
      </c>
      <c r="C71" s="7" t="s">
        <v>630</v>
      </c>
      <c r="D71" s="7" t="s">
        <v>631</v>
      </c>
      <c r="E71" s="7" t="s">
        <v>164</v>
      </c>
      <c r="F71" s="7"/>
      <c r="G71" s="7"/>
      <c r="H71" s="7" t="s">
        <v>759</v>
      </c>
      <c r="I71" s="7" t="s">
        <v>634</v>
      </c>
      <c r="J71" s="10" t="s">
        <v>164</v>
      </c>
      <c r="K71" s="7" t="s">
        <v>760</v>
      </c>
    </row>
    <row r="72" customFormat="false" ht="15" hidden="false" customHeight="true" outlineLevel="0" collapsed="false">
      <c r="A72" s="7" t="s">
        <v>432</v>
      </c>
      <c r="B72" s="7" t="s">
        <v>629</v>
      </c>
      <c r="C72" s="7" t="s">
        <v>630</v>
      </c>
      <c r="D72" s="7" t="s">
        <v>762</v>
      </c>
      <c r="E72" s="7" t="s">
        <v>763</v>
      </c>
      <c r="F72" s="7"/>
      <c r="G72" s="7"/>
      <c r="H72" s="7" t="s">
        <v>764</v>
      </c>
      <c r="I72" s="7" t="s">
        <v>634</v>
      </c>
      <c r="J72" s="7" t="s">
        <v>134</v>
      </c>
      <c r="K72" s="7" t="s">
        <v>765</v>
      </c>
    </row>
    <row r="73" customFormat="false" ht="15" hidden="false" customHeight="true" outlineLevel="0" collapsed="false">
      <c r="A73" s="7" t="s">
        <v>432</v>
      </c>
      <c r="B73" s="7" t="s">
        <v>709</v>
      </c>
      <c r="C73" s="7" t="s">
        <v>630</v>
      </c>
      <c r="D73" s="7" t="s">
        <v>766</v>
      </c>
      <c r="E73" s="7" t="s">
        <v>763</v>
      </c>
      <c r="F73" s="7"/>
      <c r="G73" s="7"/>
      <c r="H73" s="7" t="s">
        <v>764</v>
      </c>
      <c r="I73" s="7" t="s">
        <v>634</v>
      </c>
      <c r="J73" s="7" t="s">
        <v>134</v>
      </c>
      <c r="K73" s="7" t="s">
        <v>765</v>
      </c>
    </row>
    <row r="74" customFormat="false" ht="15" hidden="false" customHeight="true" outlineLevel="0" collapsed="false">
      <c r="A74" s="7" t="s">
        <v>419</v>
      </c>
      <c r="B74" s="7" t="s">
        <v>629</v>
      </c>
      <c r="C74" s="7" t="s">
        <v>630</v>
      </c>
      <c r="D74" s="7" t="s">
        <v>742</v>
      </c>
      <c r="E74" s="7" t="s">
        <v>636</v>
      </c>
      <c r="F74" s="7"/>
      <c r="G74" s="7"/>
      <c r="H74" s="7" t="s">
        <v>767</v>
      </c>
      <c r="I74" s="7" t="s">
        <v>634</v>
      </c>
      <c r="J74" s="7" t="s">
        <v>134</v>
      </c>
      <c r="K74" s="7" t="s">
        <v>768</v>
      </c>
    </row>
    <row r="75" customFormat="false" ht="15" hidden="false" customHeight="true" outlineLevel="0" collapsed="false">
      <c r="A75" s="7" t="s">
        <v>419</v>
      </c>
      <c r="B75" s="7" t="s">
        <v>709</v>
      </c>
      <c r="C75" s="7" t="s">
        <v>630</v>
      </c>
      <c r="D75" s="7" t="s">
        <v>631</v>
      </c>
      <c r="E75" s="7" t="s">
        <v>636</v>
      </c>
      <c r="F75" s="7"/>
      <c r="G75" s="7"/>
      <c r="H75" s="7" t="s">
        <v>767</v>
      </c>
      <c r="I75" s="7" t="s">
        <v>634</v>
      </c>
      <c r="J75" s="7" t="s">
        <v>134</v>
      </c>
      <c r="K75" s="7" t="s">
        <v>769</v>
      </c>
    </row>
    <row r="76" customFormat="false" ht="15" hidden="false" customHeight="true" outlineLevel="0" collapsed="false">
      <c r="A76" s="7" t="s">
        <v>193</v>
      </c>
      <c r="B76" s="7" t="s">
        <v>711</v>
      </c>
      <c r="C76" s="7" t="s">
        <v>630</v>
      </c>
      <c r="D76" s="7" t="s">
        <v>639</v>
      </c>
      <c r="E76" s="7" t="s">
        <v>194</v>
      </c>
      <c r="F76" s="7"/>
      <c r="G76" s="7"/>
      <c r="H76" s="7"/>
      <c r="I76" s="7" t="s">
        <v>634</v>
      </c>
      <c r="J76" s="7" t="s">
        <v>134</v>
      </c>
      <c r="K76" s="7"/>
    </row>
    <row r="77" customFormat="false" ht="15" hidden="false" customHeight="true" outlineLevel="0" collapsed="false">
      <c r="A77" s="7" t="s">
        <v>200</v>
      </c>
      <c r="B77" s="7" t="s">
        <v>629</v>
      </c>
      <c r="C77" s="7" t="s">
        <v>630</v>
      </c>
      <c r="D77" s="7" t="s">
        <v>742</v>
      </c>
      <c r="E77" s="7" t="s">
        <v>194</v>
      </c>
      <c r="F77" s="7"/>
      <c r="G77" s="7"/>
      <c r="H77" s="7"/>
      <c r="I77" s="7" t="s">
        <v>634</v>
      </c>
      <c r="J77" s="7" t="s">
        <v>134</v>
      </c>
      <c r="K77" s="7"/>
    </row>
    <row r="78" customFormat="false" ht="15" hidden="false" customHeight="true" outlineLevel="0" collapsed="false">
      <c r="A78" s="7" t="s">
        <v>200</v>
      </c>
      <c r="B78" s="7" t="s">
        <v>709</v>
      </c>
      <c r="C78" s="7" t="s">
        <v>630</v>
      </c>
      <c r="D78" s="7" t="s">
        <v>666</v>
      </c>
      <c r="E78" s="7" t="s">
        <v>194</v>
      </c>
      <c r="F78" s="7"/>
      <c r="G78" s="7"/>
      <c r="H78" s="7"/>
      <c r="I78" s="7" t="s">
        <v>634</v>
      </c>
      <c r="J78" s="7" t="s">
        <v>134</v>
      </c>
      <c r="K78" s="7"/>
    </row>
    <row r="79" customFormat="false" ht="15" hidden="false" customHeight="true" outlineLevel="0" collapsed="false">
      <c r="A79" s="7" t="s">
        <v>200</v>
      </c>
      <c r="B79" s="7" t="s">
        <v>711</v>
      </c>
      <c r="C79" s="7" t="s">
        <v>630</v>
      </c>
      <c r="D79" s="7" t="s">
        <v>631</v>
      </c>
      <c r="E79" s="7" t="s">
        <v>194</v>
      </c>
      <c r="F79" s="7"/>
      <c r="G79" s="7"/>
      <c r="H79" s="7"/>
      <c r="I79" s="7" t="s">
        <v>634</v>
      </c>
      <c r="J79" s="7" t="s">
        <v>134</v>
      </c>
      <c r="K79" s="7"/>
    </row>
    <row r="80" customFormat="false" ht="15" hidden="false" customHeight="true" outlineLevel="0" collapsed="false">
      <c r="A80" s="7" t="s">
        <v>200</v>
      </c>
      <c r="B80" s="7" t="s">
        <v>770</v>
      </c>
      <c r="C80" s="7" t="s">
        <v>630</v>
      </c>
      <c r="D80" s="7" t="s">
        <v>639</v>
      </c>
      <c r="E80" s="7" t="s">
        <v>194</v>
      </c>
      <c r="F80" s="7"/>
      <c r="G80" s="7"/>
      <c r="H80" s="7"/>
      <c r="I80" s="7" t="s">
        <v>634</v>
      </c>
      <c r="J80" s="7" t="s">
        <v>134</v>
      </c>
      <c r="K80" s="7"/>
    </row>
    <row r="81" customFormat="false" ht="15" hidden="false" customHeight="true" outlineLevel="0" collapsed="false">
      <c r="A81" s="7" t="s">
        <v>204</v>
      </c>
      <c r="B81" s="7" t="s">
        <v>771</v>
      </c>
      <c r="C81" s="7" t="s">
        <v>630</v>
      </c>
      <c r="D81" s="7" t="s">
        <v>639</v>
      </c>
      <c r="E81" s="7" t="s">
        <v>194</v>
      </c>
      <c r="F81" s="7"/>
      <c r="G81" s="7"/>
      <c r="H81" s="7"/>
      <c r="I81" s="7" t="s">
        <v>634</v>
      </c>
      <c r="J81" s="7" t="s">
        <v>134</v>
      </c>
      <c r="K81" s="7" t="s">
        <v>772</v>
      </c>
    </row>
    <row r="82" customFormat="false" ht="15" hidden="false" customHeight="true" outlineLevel="0" collapsed="false">
      <c r="A82" s="7" t="s">
        <v>508</v>
      </c>
      <c r="B82" s="7" t="s">
        <v>711</v>
      </c>
      <c r="C82" s="7" t="s">
        <v>630</v>
      </c>
      <c r="D82" s="7" t="s">
        <v>639</v>
      </c>
      <c r="E82" s="7" t="s">
        <v>773</v>
      </c>
      <c r="F82" s="7"/>
      <c r="G82" s="7"/>
      <c r="H82" s="7"/>
      <c r="I82" s="7" t="s">
        <v>634</v>
      </c>
      <c r="J82" s="7" t="s">
        <v>134</v>
      </c>
      <c r="K82" s="7"/>
    </row>
    <row r="83" customFormat="false" ht="15" hidden="false" customHeight="true" outlineLevel="0" collapsed="false">
      <c r="A83" s="7" t="s">
        <v>508</v>
      </c>
      <c r="B83" s="7" t="s">
        <v>770</v>
      </c>
      <c r="C83" s="7" t="s">
        <v>630</v>
      </c>
      <c r="D83" s="7" t="s">
        <v>774</v>
      </c>
      <c r="E83" s="7" t="s">
        <v>773</v>
      </c>
      <c r="F83" s="7"/>
      <c r="G83" s="7"/>
      <c r="H83" s="7"/>
      <c r="I83" s="7" t="s">
        <v>634</v>
      </c>
      <c r="J83" s="7" t="s">
        <v>134</v>
      </c>
      <c r="K83" s="7"/>
    </row>
    <row r="84" customFormat="false" ht="15" hidden="false" customHeight="true" outlineLevel="0" collapsed="false">
      <c r="A84" s="7" t="s">
        <v>514</v>
      </c>
      <c r="B84" s="7" t="s">
        <v>629</v>
      </c>
      <c r="C84" s="7" t="s">
        <v>630</v>
      </c>
      <c r="D84" s="7" t="s">
        <v>775</v>
      </c>
      <c r="E84" s="7" t="s">
        <v>776</v>
      </c>
      <c r="F84" s="7"/>
      <c r="G84" s="7"/>
      <c r="H84" s="7"/>
      <c r="I84" s="7" t="s">
        <v>634</v>
      </c>
      <c r="J84" s="7" t="s">
        <v>134</v>
      </c>
      <c r="K84" s="7"/>
    </row>
    <row r="85" customFormat="false" ht="15" hidden="false" customHeight="true" outlineLevel="0" collapsed="false">
      <c r="A85" s="7" t="s">
        <v>514</v>
      </c>
      <c r="B85" s="7" t="s">
        <v>709</v>
      </c>
      <c r="C85" s="7" t="s">
        <v>630</v>
      </c>
      <c r="D85" s="7" t="s">
        <v>775</v>
      </c>
      <c r="E85" s="7" t="s">
        <v>776</v>
      </c>
      <c r="F85" s="7"/>
      <c r="G85" s="7"/>
      <c r="H85" s="7"/>
      <c r="I85" s="7" t="s">
        <v>634</v>
      </c>
      <c r="J85" s="7" t="s">
        <v>134</v>
      </c>
      <c r="K85" s="7"/>
    </row>
    <row r="86" customFormat="false" ht="15" hidden="false" customHeight="true" outlineLevel="0" collapsed="false">
      <c r="A86" s="7" t="s">
        <v>514</v>
      </c>
      <c r="B86" s="7" t="s">
        <v>711</v>
      </c>
      <c r="C86" s="7" t="s">
        <v>630</v>
      </c>
      <c r="D86" s="7" t="s">
        <v>775</v>
      </c>
      <c r="E86" s="7" t="s">
        <v>776</v>
      </c>
      <c r="F86" s="7"/>
      <c r="G86" s="7"/>
      <c r="H86" s="7"/>
      <c r="I86" s="7" t="s">
        <v>634</v>
      </c>
      <c r="J86" s="7" t="s">
        <v>134</v>
      </c>
      <c r="K86" s="7"/>
    </row>
    <row r="87" customFormat="false" ht="15" hidden="false" customHeight="true" outlineLevel="0" collapsed="false">
      <c r="A87" s="7" t="s">
        <v>514</v>
      </c>
      <c r="B87" s="7" t="s">
        <v>770</v>
      </c>
      <c r="C87" s="7" t="s">
        <v>630</v>
      </c>
      <c r="D87" s="7" t="s">
        <v>775</v>
      </c>
      <c r="E87" s="7" t="s">
        <v>776</v>
      </c>
      <c r="F87" s="7"/>
      <c r="G87" s="7"/>
      <c r="H87" s="7"/>
      <c r="I87" s="7" t="s">
        <v>634</v>
      </c>
      <c r="J87" s="7" t="s">
        <v>134</v>
      </c>
      <c r="K87" s="7"/>
    </row>
    <row r="88" customFormat="false" ht="26.25" hidden="false" customHeight="true" outlineLevel="0" collapsed="false">
      <c r="A88" s="7" t="s">
        <v>519</v>
      </c>
      <c r="B88" s="7" t="s">
        <v>771</v>
      </c>
      <c r="C88" s="7" t="s">
        <v>630</v>
      </c>
      <c r="D88" s="7" t="s">
        <v>639</v>
      </c>
      <c r="E88" s="7" t="s">
        <v>522</v>
      </c>
      <c r="F88" s="7"/>
      <c r="G88" s="7"/>
      <c r="H88" s="7"/>
      <c r="I88" s="7" t="s">
        <v>634</v>
      </c>
      <c r="J88" s="7" t="s">
        <v>134</v>
      </c>
      <c r="K88" s="7" t="s">
        <v>777</v>
      </c>
    </row>
    <row r="89" customFormat="false" ht="15" hidden="false" customHeight="true" outlineLevel="0" collapsed="false">
      <c r="A89" s="7" t="s">
        <v>459</v>
      </c>
      <c r="B89" s="7" t="s">
        <v>739</v>
      </c>
      <c r="C89" s="7" t="s">
        <v>729</v>
      </c>
      <c r="D89" s="7" t="s">
        <v>778</v>
      </c>
      <c r="E89" s="7"/>
      <c r="F89" s="7"/>
      <c r="G89" s="7"/>
      <c r="H89" s="7"/>
      <c r="I89" s="7" t="s">
        <v>460</v>
      </c>
      <c r="J89" s="7" t="s">
        <v>134</v>
      </c>
      <c r="K89" s="7" t="s">
        <v>779</v>
      </c>
    </row>
    <row r="90" customFormat="false" ht="26.25" hidden="false" customHeight="true" outlineLevel="0" collapsed="false">
      <c r="A90" s="7" t="s">
        <v>487</v>
      </c>
      <c r="B90" s="7" t="s">
        <v>629</v>
      </c>
      <c r="C90" s="7" t="s">
        <v>630</v>
      </c>
      <c r="D90" s="7" t="s">
        <v>666</v>
      </c>
      <c r="E90" s="7" t="s">
        <v>706</v>
      </c>
      <c r="F90" s="7"/>
      <c r="G90" s="7"/>
      <c r="H90" s="7" t="s">
        <v>753</v>
      </c>
      <c r="I90" s="7" t="s">
        <v>634</v>
      </c>
      <c r="J90" s="7" t="s">
        <v>134</v>
      </c>
      <c r="K90" s="7" t="s">
        <v>780</v>
      </c>
    </row>
    <row r="91" customFormat="false" ht="15" hidden="false" customHeight="true" outlineLevel="0" collapsed="false">
      <c r="A91" s="7" t="s">
        <v>487</v>
      </c>
      <c r="B91" s="7" t="s">
        <v>781</v>
      </c>
      <c r="C91" s="7" t="s">
        <v>630</v>
      </c>
      <c r="D91" s="7" t="s">
        <v>782</v>
      </c>
      <c r="E91" s="7" t="s">
        <v>636</v>
      </c>
      <c r="F91" s="7"/>
      <c r="G91" s="7"/>
      <c r="H91" s="7" t="s">
        <v>753</v>
      </c>
      <c r="I91" s="7" t="s">
        <v>634</v>
      </c>
      <c r="J91" s="7" t="s">
        <v>134</v>
      </c>
      <c r="K91" s="7"/>
    </row>
    <row r="92" customFormat="false" ht="26.25" hidden="false" customHeight="true" outlineLevel="0" collapsed="false">
      <c r="A92" s="7" t="s">
        <v>419</v>
      </c>
      <c r="B92" s="7" t="s">
        <v>739</v>
      </c>
      <c r="C92" s="7" t="s">
        <v>660</v>
      </c>
      <c r="D92" s="7" t="s">
        <v>783</v>
      </c>
      <c r="E92" s="7"/>
      <c r="F92" s="7"/>
      <c r="G92" s="7" t="s">
        <v>743</v>
      </c>
      <c r="H92" s="7" t="s">
        <v>767</v>
      </c>
      <c r="I92" s="7" t="s">
        <v>460</v>
      </c>
      <c r="J92" s="7" t="s">
        <v>134</v>
      </c>
      <c r="K92" s="7" t="s">
        <v>784</v>
      </c>
    </row>
    <row r="93" customFormat="false" ht="51.75" hidden="false" customHeight="true" outlineLevel="0" collapsed="false">
      <c r="A93" s="7" t="s">
        <v>524</v>
      </c>
      <c r="B93" s="7" t="s">
        <v>681</v>
      </c>
      <c r="C93" s="7" t="s">
        <v>630</v>
      </c>
      <c r="D93" s="7" t="s">
        <v>785</v>
      </c>
      <c r="E93" s="7" t="s">
        <v>636</v>
      </c>
      <c r="F93" s="7"/>
      <c r="G93" s="7"/>
      <c r="H93" s="7"/>
      <c r="I93" s="7" t="s">
        <v>634</v>
      </c>
      <c r="J93" s="7" t="s">
        <v>134</v>
      </c>
      <c r="K93" s="7" t="s">
        <v>786</v>
      </c>
    </row>
    <row r="94" customFormat="false" ht="26.25" hidden="false" customHeight="true" outlineLevel="0" collapsed="false">
      <c r="A94" s="7" t="s">
        <v>544</v>
      </c>
      <c r="B94" s="7" t="s">
        <v>787</v>
      </c>
      <c r="C94" s="7" t="s">
        <v>630</v>
      </c>
      <c r="D94" s="7" t="s">
        <v>788</v>
      </c>
      <c r="E94" s="7" t="s">
        <v>636</v>
      </c>
      <c r="F94" s="7"/>
      <c r="G94" s="7"/>
      <c r="H94" s="7"/>
      <c r="I94" s="7" t="s">
        <v>634</v>
      </c>
      <c r="J94" s="7" t="s">
        <v>134</v>
      </c>
      <c r="K94" s="7" t="s">
        <v>789</v>
      </c>
    </row>
    <row r="95" customFormat="false" ht="26.25" hidden="false" customHeight="true" outlineLevel="0" collapsed="false">
      <c r="A95" s="7" t="s">
        <v>544</v>
      </c>
      <c r="B95" s="7" t="s">
        <v>674</v>
      </c>
      <c r="C95" s="7" t="s">
        <v>630</v>
      </c>
      <c r="D95" s="7" t="s">
        <v>788</v>
      </c>
      <c r="E95" s="7" t="s">
        <v>636</v>
      </c>
      <c r="F95" s="7"/>
      <c r="G95" s="7"/>
      <c r="H95" s="7"/>
      <c r="I95" s="7" t="s">
        <v>634</v>
      </c>
      <c r="J95" s="7" t="s">
        <v>134</v>
      </c>
      <c r="K95" s="7" t="s">
        <v>789</v>
      </c>
    </row>
    <row r="96" customFormat="false" ht="26.25" hidden="false" customHeight="true" outlineLevel="0" collapsed="false">
      <c r="A96" s="7" t="s">
        <v>544</v>
      </c>
      <c r="B96" s="7" t="s">
        <v>790</v>
      </c>
      <c r="C96" s="7" t="s">
        <v>630</v>
      </c>
      <c r="D96" s="7" t="s">
        <v>788</v>
      </c>
      <c r="E96" s="7" t="s">
        <v>636</v>
      </c>
      <c r="F96" s="7"/>
      <c r="G96" s="7"/>
      <c r="H96" s="7"/>
      <c r="I96" s="7" t="s">
        <v>634</v>
      </c>
      <c r="J96" s="7" t="s">
        <v>134</v>
      </c>
      <c r="K96" s="7" t="s">
        <v>789</v>
      </c>
    </row>
    <row r="97" customFormat="false" ht="15" hidden="false" customHeight="false" outlineLevel="0" collapsed="false">
      <c r="A97" s="7" t="s">
        <v>443</v>
      </c>
      <c r="B97" s="7" t="s">
        <v>700</v>
      </c>
      <c r="C97" s="7" t="s">
        <v>660</v>
      </c>
      <c r="D97" s="7" t="s">
        <v>791</v>
      </c>
      <c r="E97" s="7"/>
      <c r="F97" s="7"/>
      <c r="G97" s="7" t="s">
        <v>743</v>
      </c>
      <c r="H97" s="7"/>
      <c r="I97" s="7" t="s">
        <v>386</v>
      </c>
      <c r="J97" s="7" t="s">
        <v>134</v>
      </c>
      <c r="K97" s="7"/>
    </row>
    <row r="98" customFormat="false" ht="15" hidden="false" customHeight="false" outlineLevel="0" collapsed="false">
      <c r="A98" s="7" t="s">
        <v>443</v>
      </c>
      <c r="B98" s="7" t="s">
        <v>792</v>
      </c>
      <c r="C98" s="7" t="s">
        <v>660</v>
      </c>
      <c r="D98" s="7" t="s">
        <v>793</v>
      </c>
      <c r="E98" s="7"/>
      <c r="F98" s="7"/>
      <c r="G98" s="7" t="s">
        <v>743</v>
      </c>
      <c r="H98" s="7"/>
      <c r="I98" s="7" t="s">
        <v>386</v>
      </c>
      <c r="J98" s="7" t="s">
        <v>134</v>
      </c>
      <c r="K98" s="7"/>
    </row>
    <row r="99" customFormat="false" ht="15" hidden="false" customHeight="false" outlineLevel="0" collapsed="false">
      <c r="A99" s="7" t="s">
        <v>454</v>
      </c>
      <c r="B99" s="7" t="s">
        <v>663</v>
      </c>
      <c r="C99" s="7" t="s">
        <v>660</v>
      </c>
      <c r="D99" s="7" t="s">
        <v>794</v>
      </c>
      <c r="E99" s="7"/>
      <c r="F99" s="7"/>
      <c r="G99" s="7" t="s">
        <v>743</v>
      </c>
      <c r="H99" s="7"/>
      <c r="I99" s="7" t="s">
        <v>386</v>
      </c>
      <c r="J99" s="7" t="s">
        <v>134</v>
      </c>
      <c r="K99" s="7"/>
    </row>
    <row r="100" customFormat="false" ht="26.85" hidden="false" customHeight="false" outlineLevel="0" collapsed="false">
      <c r="A100" s="7" t="s">
        <v>585</v>
      </c>
      <c r="B100" s="7" t="s">
        <v>795</v>
      </c>
      <c r="C100" s="7" t="s">
        <v>630</v>
      </c>
      <c r="D100" s="7" t="s">
        <v>796</v>
      </c>
      <c r="E100" s="7" t="s">
        <v>636</v>
      </c>
      <c r="F100" s="7"/>
      <c r="G100" s="7"/>
      <c r="H100" s="7"/>
      <c r="I100" s="7" t="s">
        <v>634</v>
      </c>
      <c r="J100" s="7" t="s">
        <v>134</v>
      </c>
      <c r="K100" s="7" t="s">
        <v>797</v>
      </c>
    </row>
    <row r="101" customFormat="false" ht="15" hidden="false" customHeight="false" outlineLevel="0" collapsed="false">
      <c r="A101" s="7" t="s">
        <v>591</v>
      </c>
      <c r="B101" s="7" t="s">
        <v>798</v>
      </c>
      <c r="C101" s="7" t="s">
        <v>630</v>
      </c>
      <c r="D101" s="7" t="s">
        <v>799</v>
      </c>
      <c r="E101" s="7" t="s">
        <v>636</v>
      </c>
      <c r="F101" s="7"/>
      <c r="G101" s="7"/>
      <c r="H101" s="7"/>
      <c r="I101" s="7" t="s">
        <v>634</v>
      </c>
      <c r="J101" s="7" t="s">
        <v>134</v>
      </c>
      <c r="K101" s="7"/>
    </row>
    <row r="102" customFormat="false" ht="15" hidden="false" customHeight="false" outlineLevel="0" collapsed="false">
      <c r="A102" s="7" t="s">
        <v>550</v>
      </c>
      <c r="B102" s="7" t="s">
        <v>800</v>
      </c>
      <c r="C102" s="7" t="s">
        <v>660</v>
      </c>
      <c r="D102" s="7" t="s">
        <v>801</v>
      </c>
      <c r="E102" s="7"/>
      <c r="F102" s="7"/>
      <c r="G102" s="7" t="s">
        <v>743</v>
      </c>
      <c r="H102" s="7"/>
      <c r="I102" s="7" t="s">
        <v>634</v>
      </c>
      <c r="J102" s="7" t="s">
        <v>134</v>
      </c>
      <c r="K102" s="7" t="s">
        <v>802</v>
      </c>
    </row>
  </sheetData>
  <autoFilter ref="A1:K64"/>
  <dataValidations count="3">
    <dataValidation allowBlank="true" errorStyle="stop" operator="between" showDropDown="false" showErrorMessage="false" showInputMessage="false" sqref="J2:J113" type="list">
      <formula1>"draft,to confirm,to complete,reviewed"</formula1>
      <formula2>0</formula2>
    </dataValidation>
    <dataValidation allowBlank="true" errorStyle="stop" operator="between" showDropDown="false" showErrorMessage="false" showInputMessage="false" sqref="C3:C122" type="list">
      <formula1>"add,multiply,set,min,max,dice,grant"</formula1>
      <formula2>0</formula2>
    </dataValidation>
    <dataValidation allowBlank="true" errorStyle="stop" operator="between" showDropDown="false" showErrorMessage="false" showInputMessage="false" sqref="F3:F122" type="list">
      <formula1>"additive,multiplicative,to confirm"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6" min="3" style="1" width="7"/>
    <col collapsed="false" customWidth="true" hidden="false" outlineLevel="0" max="7" min="7" style="1" width="60"/>
    <col collapsed="false" customWidth="true" hidden="false" outlineLevel="0" max="8" min="8" style="1" width="12"/>
    <col collapsed="false" customWidth="true" hidden="false" outlineLevel="0" max="9" min="9" style="1" width="45"/>
  </cols>
  <sheetData>
    <row r="1" customFormat="false" ht="15" hidden="false" customHeight="true" outlineLevel="0" collapsed="false">
      <c r="A1" s="8" t="s">
        <v>803</v>
      </c>
      <c r="B1" s="8" t="s">
        <v>804</v>
      </c>
      <c r="C1" s="8" t="s">
        <v>751</v>
      </c>
      <c r="D1" s="8" t="s">
        <v>805</v>
      </c>
      <c r="E1" s="8" t="s">
        <v>806</v>
      </c>
      <c r="F1" s="8" t="s">
        <v>807</v>
      </c>
      <c r="G1" s="8" t="s">
        <v>808</v>
      </c>
      <c r="H1" s="8" t="s">
        <v>122</v>
      </c>
      <c r="I1" s="8" t="s">
        <v>628</v>
      </c>
    </row>
    <row r="2" customFormat="false" ht="15" hidden="false" customHeight="true" outlineLevel="0" collapsed="false">
      <c r="A2" s="7" t="s">
        <v>181</v>
      </c>
      <c r="B2" s="7" t="n">
        <v>1</v>
      </c>
      <c r="C2" s="7" t="s">
        <v>809</v>
      </c>
      <c r="D2" s="7" t="s">
        <v>809</v>
      </c>
      <c r="E2" s="7" t="s">
        <v>809</v>
      </c>
      <c r="F2" s="7" t="s">
        <v>809</v>
      </c>
      <c r="G2" s="7" t="s">
        <v>810</v>
      </c>
      <c r="H2" s="7" t="s">
        <v>134</v>
      </c>
      <c r="I2" s="7" t="s">
        <v>811</v>
      </c>
    </row>
    <row r="3" customFormat="false" ht="15" hidden="false" customHeight="true" outlineLevel="0" collapsed="false">
      <c r="A3" s="7" t="s">
        <v>181</v>
      </c>
      <c r="B3" s="7" t="n">
        <v>2</v>
      </c>
      <c r="C3" s="7" t="s">
        <v>809</v>
      </c>
      <c r="D3" s="7" t="s">
        <v>809</v>
      </c>
      <c r="E3" s="7" t="s">
        <v>809</v>
      </c>
      <c r="F3" s="7" t="s">
        <v>809</v>
      </c>
      <c r="G3" s="7" t="s">
        <v>812</v>
      </c>
      <c r="H3" s="7" t="s">
        <v>134</v>
      </c>
      <c r="I3" s="7" t="s">
        <v>811</v>
      </c>
    </row>
    <row r="4" customFormat="false" ht="15" hidden="false" customHeight="true" outlineLevel="0" collapsed="false">
      <c r="A4" s="7" t="s">
        <v>181</v>
      </c>
      <c r="B4" s="7" t="n">
        <v>3</v>
      </c>
      <c r="C4" s="7" t="s">
        <v>809</v>
      </c>
      <c r="D4" s="7" t="s">
        <v>809</v>
      </c>
      <c r="E4" s="7" t="s">
        <v>809</v>
      </c>
      <c r="F4" s="7" t="s">
        <v>809</v>
      </c>
      <c r="G4" s="7" t="s">
        <v>813</v>
      </c>
      <c r="H4" s="7" t="s">
        <v>134</v>
      </c>
      <c r="I4" s="7" t="s">
        <v>811</v>
      </c>
    </row>
    <row r="5" customFormat="false" ht="15" hidden="false" customHeight="true" outlineLevel="0" collapsed="false">
      <c r="A5" s="7" t="s">
        <v>181</v>
      </c>
      <c r="B5" s="7" t="n">
        <v>4</v>
      </c>
      <c r="C5" s="7" t="s">
        <v>809</v>
      </c>
      <c r="D5" s="7" t="s">
        <v>809</v>
      </c>
      <c r="E5" s="7" t="s">
        <v>809</v>
      </c>
      <c r="F5" s="7" t="s">
        <v>809</v>
      </c>
      <c r="G5" s="7" t="s">
        <v>814</v>
      </c>
      <c r="H5" s="7" t="s">
        <v>134</v>
      </c>
      <c r="I5" s="7" t="s">
        <v>811</v>
      </c>
    </row>
    <row r="6" customFormat="false" ht="15" hidden="false" customHeight="true" outlineLevel="0" collapsed="false">
      <c r="A6" s="7" t="s">
        <v>181</v>
      </c>
      <c r="B6" s="7" t="n">
        <v>5</v>
      </c>
      <c r="C6" s="7" t="s">
        <v>809</v>
      </c>
      <c r="D6" s="7" t="s">
        <v>809</v>
      </c>
      <c r="E6" s="7" t="s">
        <v>809</v>
      </c>
      <c r="F6" s="7" t="s">
        <v>809</v>
      </c>
      <c r="G6" s="7" t="s">
        <v>815</v>
      </c>
      <c r="H6" s="7" t="s">
        <v>134</v>
      </c>
      <c r="I6" s="7" t="s">
        <v>811</v>
      </c>
    </row>
    <row r="7" customFormat="false" ht="15" hidden="false" customHeight="true" outlineLevel="0" collapsed="false">
      <c r="A7" s="7" t="s">
        <v>181</v>
      </c>
      <c r="B7" s="7" t="n">
        <v>6</v>
      </c>
      <c r="C7" s="7" t="s">
        <v>809</v>
      </c>
      <c r="D7" s="7" t="s">
        <v>809</v>
      </c>
      <c r="E7" s="7" t="s">
        <v>809</v>
      </c>
      <c r="F7" s="7" t="s">
        <v>809</v>
      </c>
      <c r="G7" s="7" t="s">
        <v>816</v>
      </c>
      <c r="H7" s="7" t="s">
        <v>134</v>
      </c>
      <c r="I7" s="7" t="s">
        <v>811</v>
      </c>
    </row>
    <row r="8" customFormat="false" ht="15" hidden="false" customHeight="true" outlineLevel="0" collapsed="false">
      <c r="A8" s="7" t="s">
        <v>181</v>
      </c>
      <c r="B8" s="7" t="n">
        <v>7</v>
      </c>
      <c r="C8" s="7" t="s">
        <v>809</v>
      </c>
      <c r="D8" s="7" t="s">
        <v>809</v>
      </c>
      <c r="E8" s="7" t="s">
        <v>809</v>
      </c>
      <c r="F8" s="7" t="s">
        <v>809</v>
      </c>
      <c r="G8" s="7" t="s">
        <v>817</v>
      </c>
      <c r="H8" s="7" t="s">
        <v>134</v>
      </c>
      <c r="I8" s="7" t="s">
        <v>811</v>
      </c>
    </row>
    <row r="9" customFormat="false" ht="15" hidden="false" customHeight="true" outlineLevel="0" collapsed="false">
      <c r="A9" s="7" t="s">
        <v>181</v>
      </c>
      <c r="B9" s="7" t="n">
        <v>8</v>
      </c>
      <c r="C9" s="7" t="s">
        <v>809</v>
      </c>
      <c r="D9" s="7" t="s">
        <v>809</v>
      </c>
      <c r="E9" s="7" t="s">
        <v>809</v>
      </c>
      <c r="F9" s="7" t="s">
        <v>809</v>
      </c>
      <c r="G9" s="7" t="s">
        <v>818</v>
      </c>
      <c r="H9" s="7" t="s">
        <v>134</v>
      </c>
      <c r="I9" s="7" t="s">
        <v>811</v>
      </c>
    </row>
    <row r="10" customFormat="false" ht="15" hidden="false" customHeight="true" outlineLevel="0" collapsed="false">
      <c r="A10" s="7" t="s">
        <v>181</v>
      </c>
      <c r="B10" s="7" t="n">
        <v>9</v>
      </c>
      <c r="C10" s="7" t="s">
        <v>809</v>
      </c>
      <c r="D10" s="7" t="s">
        <v>809</v>
      </c>
      <c r="E10" s="7" t="s">
        <v>809</v>
      </c>
      <c r="F10" s="7" t="s">
        <v>809</v>
      </c>
      <c r="G10" s="7" t="s">
        <v>819</v>
      </c>
      <c r="H10" s="7" t="s">
        <v>134</v>
      </c>
      <c r="I10" s="7" t="s">
        <v>811</v>
      </c>
    </row>
    <row r="11" customFormat="false" ht="15" hidden="false" customHeight="true" outlineLevel="0" collapsed="false">
      <c r="A11" s="7" t="s">
        <v>181</v>
      </c>
      <c r="B11" s="7" t="n">
        <v>10</v>
      </c>
      <c r="C11" s="7" t="s">
        <v>809</v>
      </c>
      <c r="D11" s="7" t="s">
        <v>809</v>
      </c>
      <c r="E11" s="7" t="s">
        <v>809</v>
      </c>
      <c r="F11" s="7" t="s">
        <v>809</v>
      </c>
      <c r="G11" s="7" t="s">
        <v>820</v>
      </c>
      <c r="H11" s="7" t="s">
        <v>134</v>
      </c>
      <c r="I11" s="7" t="s">
        <v>811</v>
      </c>
    </row>
    <row r="12" customFormat="false" ht="15" hidden="false" customHeight="true" outlineLevel="0" collapsed="false">
      <c r="A12" s="7" t="s">
        <v>187</v>
      </c>
      <c r="B12" s="7" t="n">
        <v>1</v>
      </c>
      <c r="C12" s="7" t="s">
        <v>809</v>
      </c>
      <c r="D12" s="7" t="s">
        <v>809</v>
      </c>
      <c r="E12" s="7" t="s">
        <v>809</v>
      </c>
      <c r="F12" s="7" t="s">
        <v>809</v>
      </c>
      <c r="G12" s="7" t="s">
        <v>821</v>
      </c>
      <c r="H12" s="7" t="s">
        <v>134</v>
      </c>
      <c r="I12" s="7" t="s">
        <v>811</v>
      </c>
    </row>
    <row r="13" customFormat="false" ht="15" hidden="false" customHeight="true" outlineLevel="0" collapsed="false">
      <c r="A13" s="7" t="s">
        <v>187</v>
      </c>
      <c r="B13" s="7" t="n">
        <v>2</v>
      </c>
      <c r="C13" s="7" t="s">
        <v>809</v>
      </c>
      <c r="D13" s="7" t="s">
        <v>809</v>
      </c>
      <c r="E13" s="7" t="s">
        <v>809</v>
      </c>
      <c r="F13" s="7" t="s">
        <v>809</v>
      </c>
      <c r="G13" s="7" t="s">
        <v>822</v>
      </c>
      <c r="H13" s="7" t="s">
        <v>134</v>
      </c>
      <c r="I13" s="7" t="s">
        <v>811</v>
      </c>
    </row>
    <row r="14" customFormat="false" ht="15" hidden="false" customHeight="true" outlineLevel="0" collapsed="false">
      <c r="A14" s="7" t="s">
        <v>187</v>
      </c>
      <c r="B14" s="7" t="n">
        <v>3</v>
      </c>
      <c r="C14" s="7" t="s">
        <v>809</v>
      </c>
      <c r="D14" s="7" t="s">
        <v>809</v>
      </c>
      <c r="E14" s="7" t="s">
        <v>809</v>
      </c>
      <c r="F14" s="7" t="s">
        <v>809</v>
      </c>
      <c r="G14" s="7" t="s">
        <v>823</v>
      </c>
      <c r="H14" s="7" t="s">
        <v>134</v>
      </c>
      <c r="I14" s="7" t="s">
        <v>811</v>
      </c>
    </row>
    <row r="15" customFormat="false" ht="15" hidden="false" customHeight="true" outlineLevel="0" collapsed="false">
      <c r="A15" s="7" t="s">
        <v>187</v>
      </c>
      <c r="B15" s="7" t="n">
        <v>4</v>
      </c>
      <c r="C15" s="7" t="s">
        <v>809</v>
      </c>
      <c r="D15" s="7" t="s">
        <v>809</v>
      </c>
      <c r="E15" s="7" t="s">
        <v>809</v>
      </c>
      <c r="F15" s="7" t="s">
        <v>809</v>
      </c>
      <c r="G15" s="7" t="s">
        <v>824</v>
      </c>
      <c r="H15" s="7" t="s">
        <v>134</v>
      </c>
      <c r="I15" s="7" t="s">
        <v>811</v>
      </c>
    </row>
    <row r="16" customFormat="false" ht="15" hidden="false" customHeight="true" outlineLevel="0" collapsed="false">
      <c r="A16" s="7" t="s">
        <v>187</v>
      </c>
      <c r="B16" s="7" t="n">
        <v>5</v>
      </c>
      <c r="C16" s="7" t="s">
        <v>809</v>
      </c>
      <c r="D16" s="7" t="s">
        <v>809</v>
      </c>
      <c r="E16" s="7" t="s">
        <v>809</v>
      </c>
      <c r="F16" s="7" t="s">
        <v>809</v>
      </c>
      <c r="G16" s="7" t="s">
        <v>825</v>
      </c>
      <c r="H16" s="7" t="s">
        <v>134</v>
      </c>
      <c r="I16" s="7" t="s">
        <v>811</v>
      </c>
    </row>
    <row r="17" customFormat="false" ht="15" hidden="false" customHeight="true" outlineLevel="0" collapsed="false">
      <c r="A17" s="7" t="s">
        <v>187</v>
      </c>
      <c r="B17" s="7" t="n">
        <v>6</v>
      </c>
      <c r="C17" s="7" t="s">
        <v>809</v>
      </c>
      <c r="D17" s="7" t="s">
        <v>809</v>
      </c>
      <c r="E17" s="7" t="s">
        <v>809</v>
      </c>
      <c r="F17" s="7" t="s">
        <v>809</v>
      </c>
      <c r="G17" s="7" t="s">
        <v>358</v>
      </c>
      <c r="H17" s="7" t="s">
        <v>134</v>
      </c>
      <c r="I17" s="7" t="s">
        <v>811</v>
      </c>
    </row>
    <row r="18" customFormat="false" ht="15" hidden="false" customHeight="true" outlineLevel="0" collapsed="false">
      <c r="A18" s="7" t="s">
        <v>187</v>
      </c>
      <c r="B18" s="7" t="n">
        <v>7</v>
      </c>
      <c r="C18" s="7" t="s">
        <v>809</v>
      </c>
      <c r="D18" s="7" t="s">
        <v>809</v>
      </c>
      <c r="E18" s="7" t="s">
        <v>809</v>
      </c>
      <c r="F18" s="7" t="s">
        <v>809</v>
      </c>
      <c r="G18" s="7" t="s">
        <v>826</v>
      </c>
      <c r="H18" s="7" t="s">
        <v>134</v>
      </c>
      <c r="I18" s="7" t="s">
        <v>811</v>
      </c>
    </row>
    <row r="19" customFormat="false" ht="15" hidden="false" customHeight="true" outlineLevel="0" collapsed="false">
      <c r="A19" s="7" t="s">
        <v>187</v>
      </c>
      <c r="B19" s="7" t="n">
        <v>8</v>
      </c>
      <c r="C19" s="7" t="s">
        <v>809</v>
      </c>
      <c r="D19" s="7" t="s">
        <v>809</v>
      </c>
      <c r="E19" s="7" t="s">
        <v>809</v>
      </c>
      <c r="F19" s="7" t="s">
        <v>809</v>
      </c>
      <c r="G19" s="7" t="s">
        <v>368</v>
      </c>
      <c r="H19" s="7" t="s">
        <v>134</v>
      </c>
      <c r="I19" s="7" t="s">
        <v>811</v>
      </c>
    </row>
    <row r="20" customFormat="false" ht="26.25" hidden="false" customHeight="true" outlineLevel="0" collapsed="false">
      <c r="A20" s="7" t="s">
        <v>187</v>
      </c>
      <c r="B20" s="7" t="n">
        <v>9</v>
      </c>
      <c r="C20" s="7" t="s">
        <v>809</v>
      </c>
      <c r="D20" s="7" t="s">
        <v>809</v>
      </c>
      <c r="E20" s="7" t="s">
        <v>809</v>
      </c>
      <c r="F20" s="7" t="s">
        <v>809</v>
      </c>
      <c r="G20" s="7"/>
      <c r="H20" s="7" t="s">
        <v>134</v>
      </c>
      <c r="I20" s="7" t="s">
        <v>811</v>
      </c>
    </row>
    <row r="21" customFormat="false" ht="26.25" hidden="false" customHeight="true" outlineLevel="0" collapsed="false">
      <c r="A21" s="7" t="s">
        <v>187</v>
      </c>
      <c r="B21" s="7" t="n">
        <v>10</v>
      </c>
      <c r="C21" s="7" t="s">
        <v>809</v>
      </c>
      <c r="D21" s="7" t="s">
        <v>809</v>
      </c>
      <c r="E21" s="7" t="s">
        <v>809</v>
      </c>
      <c r="F21" s="7" t="s">
        <v>809</v>
      </c>
      <c r="G21" s="7" t="s">
        <v>827</v>
      </c>
      <c r="H21" s="7" t="s">
        <v>134</v>
      </c>
      <c r="I21" s="7" t="s">
        <v>811</v>
      </c>
    </row>
    <row r="22" customFormat="false" ht="15" hidden="false" customHeight="true" outlineLevel="0" collapsed="false">
      <c r="A22" s="7" t="s">
        <v>136</v>
      </c>
      <c r="B22" s="7" t="n">
        <v>1</v>
      </c>
      <c r="C22" s="7" t="n">
        <v>1</v>
      </c>
      <c r="D22" s="7" t="n">
        <v>2</v>
      </c>
      <c r="E22" s="7" t="n">
        <v>0</v>
      </c>
      <c r="F22" s="7" t="n">
        <v>0</v>
      </c>
      <c r="G22" s="7" t="s">
        <v>828</v>
      </c>
      <c r="H22" s="10" t="s">
        <v>164</v>
      </c>
      <c r="I22" s="7" t="s">
        <v>829</v>
      </c>
    </row>
    <row r="23" customFormat="false" ht="15" hidden="false" customHeight="true" outlineLevel="0" collapsed="false">
      <c r="A23" s="7" t="s">
        <v>136</v>
      </c>
      <c r="B23" s="7" t="n">
        <v>2</v>
      </c>
      <c r="C23" s="7" t="n">
        <v>2</v>
      </c>
      <c r="D23" s="7" t="n">
        <v>3</v>
      </c>
      <c r="E23" s="7" t="n">
        <v>0</v>
      </c>
      <c r="F23" s="7" t="n">
        <v>0</v>
      </c>
      <c r="G23" s="7" t="s">
        <v>830</v>
      </c>
      <c r="H23" s="10" t="s">
        <v>164</v>
      </c>
      <c r="I23" s="7" t="s">
        <v>829</v>
      </c>
    </row>
    <row r="24" customFormat="false" ht="15" hidden="false" customHeight="true" outlineLevel="0" collapsed="false">
      <c r="A24" s="7" t="s">
        <v>136</v>
      </c>
      <c r="B24" s="7" t="n">
        <v>3</v>
      </c>
      <c r="C24" s="7" t="n">
        <v>3</v>
      </c>
      <c r="D24" s="7" t="n">
        <v>3</v>
      </c>
      <c r="E24" s="7" t="n">
        <v>1</v>
      </c>
      <c r="F24" s="7" t="n">
        <v>1</v>
      </c>
      <c r="G24" s="7"/>
      <c r="H24" s="7" t="s">
        <v>134</v>
      </c>
      <c r="I24" s="7"/>
    </row>
    <row r="25" customFormat="false" ht="15" hidden="false" customHeight="true" outlineLevel="0" collapsed="false">
      <c r="A25" s="7" t="s">
        <v>136</v>
      </c>
      <c r="B25" s="7" t="n">
        <v>4</v>
      </c>
      <c r="C25" s="7" t="n">
        <v>4</v>
      </c>
      <c r="D25" s="7" t="n">
        <v>4</v>
      </c>
      <c r="E25" s="7" t="n">
        <v>1</v>
      </c>
      <c r="F25" s="7" t="n">
        <v>1</v>
      </c>
      <c r="G25" s="7"/>
      <c r="H25" s="7" t="s">
        <v>134</v>
      </c>
      <c r="I25" s="7"/>
    </row>
    <row r="26" customFormat="false" ht="15" hidden="false" customHeight="true" outlineLevel="0" collapsed="false">
      <c r="A26" s="7" t="s">
        <v>136</v>
      </c>
      <c r="B26" s="7" t="n">
        <v>5</v>
      </c>
      <c r="C26" s="7" t="n">
        <v>5</v>
      </c>
      <c r="D26" s="7" t="n">
        <v>4</v>
      </c>
      <c r="E26" s="7" t="n">
        <v>1</v>
      </c>
      <c r="F26" s="7" t="n">
        <v>1</v>
      </c>
      <c r="G26" s="7" t="s">
        <v>819</v>
      </c>
      <c r="H26" s="10" t="s">
        <v>164</v>
      </c>
      <c r="I26" s="7" t="s">
        <v>829</v>
      </c>
    </row>
    <row r="27" customFormat="false" ht="15" hidden="false" customHeight="true" outlineLevel="0" collapsed="false">
      <c r="A27" s="7" t="s">
        <v>136</v>
      </c>
      <c r="B27" s="7" t="n">
        <v>6</v>
      </c>
      <c r="C27" s="7" t="n">
        <v>6</v>
      </c>
      <c r="D27" s="7" t="n">
        <v>5</v>
      </c>
      <c r="E27" s="7" t="n">
        <v>2</v>
      </c>
      <c r="F27" s="7" t="n">
        <v>2</v>
      </c>
      <c r="G27" s="7"/>
      <c r="H27" s="7" t="s">
        <v>134</v>
      </c>
      <c r="I27" s="7"/>
    </row>
    <row r="28" customFormat="false" ht="15" hidden="false" customHeight="true" outlineLevel="0" collapsed="false">
      <c r="A28" s="7" t="s">
        <v>136</v>
      </c>
      <c r="B28" s="7" t="n">
        <v>7</v>
      </c>
      <c r="C28" s="7" t="n">
        <v>7</v>
      </c>
      <c r="D28" s="7" t="n">
        <v>5</v>
      </c>
      <c r="E28" s="7" t="n">
        <v>2</v>
      </c>
      <c r="F28" s="7" t="n">
        <v>2</v>
      </c>
      <c r="G28" s="7" t="s">
        <v>831</v>
      </c>
      <c r="H28" s="10" t="s">
        <v>164</v>
      </c>
      <c r="I28" s="7" t="s">
        <v>829</v>
      </c>
    </row>
    <row r="29" customFormat="false" ht="15" hidden="false" customHeight="true" outlineLevel="0" collapsed="false">
      <c r="A29" s="7" t="s">
        <v>136</v>
      </c>
      <c r="B29" s="7" t="n">
        <v>8</v>
      </c>
      <c r="C29" s="7" t="n">
        <v>8</v>
      </c>
      <c r="D29" s="7" t="n">
        <v>6</v>
      </c>
      <c r="E29" s="7" t="n">
        <v>2</v>
      </c>
      <c r="F29" s="7" t="n">
        <v>2</v>
      </c>
      <c r="G29" s="7"/>
      <c r="H29" s="7" t="s">
        <v>134</v>
      </c>
      <c r="I29" s="7"/>
    </row>
    <row r="30" customFormat="false" ht="15" hidden="false" customHeight="true" outlineLevel="0" collapsed="false">
      <c r="A30" s="7" t="s">
        <v>136</v>
      </c>
      <c r="B30" s="7" t="n">
        <v>9</v>
      </c>
      <c r="C30" s="7" t="n">
        <v>9</v>
      </c>
      <c r="D30" s="7" t="n">
        <v>6</v>
      </c>
      <c r="E30" s="7" t="n">
        <v>3</v>
      </c>
      <c r="F30" s="7" t="n">
        <v>3</v>
      </c>
      <c r="G30" s="7" t="s">
        <v>832</v>
      </c>
      <c r="H30" s="10" t="s">
        <v>164</v>
      </c>
      <c r="I30" s="7" t="s">
        <v>829</v>
      </c>
    </row>
    <row r="31" customFormat="false" ht="15" hidden="false" customHeight="true" outlineLevel="0" collapsed="false">
      <c r="A31" s="7" t="s">
        <v>136</v>
      </c>
      <c r="B31" s="7" t="n">
        <v>10</v>
      </c>
      <c r="C31" s="7" t="n">
        <v>10</v>
      </c>
      <c r="D31" s="7" t="n">
        <v>7</v>
      </c>
      <c r="E31" s="7" t="n">
        <v>3</v>
      </c>
      <c r="F31" s="7" t="n">
        <v>3</v>
      </c>
      <c r="G31" s="7"/>
      <c r="H31" s="7" t="s">
        <v>134</v>
      </c>
      <c r="I31" s="7"/>
    </row>
    <row r="32" customFormat="false" ht="15" hidden="false" customHeight="true" outlineLevel="0" collapsed="false">
      <c r="A32" s="7" t="s">
        <v>136</v>
      </c>
      <c r="B32" s="7" t="n">
        <v>11</v>
      </c>
      <c r="C32" s="7" t="n">
        <v>11</v>
      </c>
      <c r="D32" s="7" t="n">
        <v>7</v>
      </c>
      <c r="E32" s="7" t="n">
        <v>3</v>
      </c>
      <c r="F32" s="7" t="n">
        <v>3</v>
      </c>
      <c r="G32" s="7" t="s">
        <v>292</v>
      </c>
      <c r="H32" s="10" t="s">
        <v>164</v>
      </c>
      <c r="I32" s="7" t="s">
        <v>829</v>
      </c>
    </row>
    <row r="33" customFormat="false" ht="15" hidden="false" customHeight="true" outlineLevel="0" collapsed="false">
      <c r="A33" s="7" t="s">
        <v>136</v>
      </c>
      <c r="B33" s="7" t="n">
        <v>12</v>
      </c>
      <c r="C33" s="7" t="n">
        <v>12</v>
      </c>
      <c r="D33" s="7" t="n">
        <v>8</v>
      </c>
      <c r="E33" s="7" t="n">
        <v>4</v>
      </c>
      <c r="F33" s="7" t="n">
        <v>4</v>
      </c>
      <c r="G33" s="7"/>
      <c r="H33" s="7" t="s">
        <v>134</v>
      </c>
      <c r="I33" s="7"/>
    </row>
    <row r="34" customFormat="false" ht="15" hidden="false" customHeight="true" outlineLevel="0" collapsed="false">
      <c r="A34" s="7" t="s">
        <v>136</v>
      </c>
      <c r="B34" s="7" t="n">
        <v>13</v>
      </c>
      <c r="C34" s="7" t="n">
        <v>13</v>
      </c>
      <c r="D34" s="7" t="n">
        <v>8</v>
      </c>
      <c r="E34" s="7" t="n">
        <v>4</v>
      </c>
      <c r="F34" s="7" t="n">
        <v>4</v>
      </c>
      <c r="G34" s="7" t="s">
        <v>819</v>
      </c>
      <c r="H34" s="10" t="s">
        <v>164</v>
      </c>
      <c r="I34" s="7" t="s">
        <v>829</v>
      </c>
    </row>
    <row r="35" customFormat="false" ht="15" hidden="false" customHeight="true" outlineLevel="0" collapsed="false">
      <c r="A35" s="7" t="s">
        <v>136</v>
      </c>
      <c r="B35" s="7" t="n">
        <v>14</v>
      </c>
      <c r="C35" s="7" t="n">
        <v>14</v>
      </c>
      <c r="D35" s="7" t="n">
        <v>9</v>
      </c>
      <c r="E35" s="7" t="n">
        <v>4</v>
      </c>
      <c r="F35" s="7" t="n">
        <v>4</v>
      </c>
      <c r="G35" s="7"/>
      <c r="H35" s="7" t="s">
        <v>134</v>
      </c>
      <c r="I35" s="7"/>
    </row>
    <row r="36" customFormat="false" ht="15" hidden="false" customHeight="true" outlineLevel="0" collapsed="false">
      <c r="A36" s="7" t="s">
        <v>136</v>
      </c>
      <c r="B36" s="7" t="n">
        <v>15</v>
      </c>
      <c r="C36" s="7" t="n">
        <v>15</v>
      </c>
      <c r="D36" s="7" t="n">
        <v>9</v>
      </c>
      <c r="E36" s="7" t="n">
        <v>5</v>
      </c>
      <c r="F36" s="7" t="n">
        <v>5</v>
      </c>
      <c r="G36" s="7" t="s">
        <v>297</v>
      </c>
      <c r="H36" s="10" t="s">
        <v>164</v>
      </c>
      <c r="I36" s="7" t="s">
        <v>829</v>
      </c>
    </row>
    <row r="37" customFormat="false" ht="15" hidden="false" customHeight="true" outlineLevel="0" collapsed="false">
      <c r="A37" s="7" t="s">
        <v>136</v>
      </c>
      <c r="B37" s="7" t="n">
        <v>16</v>
      </c>
      <c r="C37" s="7" t="n">
        <v>16</v>
      </c>
      <c r="D37" s="7" t="n">
        <v>10</v>
      </c>
      <c r="E37" s="7" t="n">
        <v>5</v>
      </c>
      <c r="F37" s="7" t="n">
        <v>5</v>
      </c>
      <c r="G37" s="7"/>
      <c r="H37" s="7" t="s">
        <v>134</v>
      </c>
      <c r="I37" s="7"/>
    </row>
    <row r="38" customFormat="false" ht="15" hidden="false" customHeight="true" outlineLevel="0" collapsed="false">
      <c r="A38" s="7" t="s">
        <v>136</v>
      </c>
      <c r="B38" s="7" t="n">
        <v>17</v>
      </c>
      <c r="C38" s="7" t="n">
        <v>17</v>
      </c>
      <c r="D38" s="7" t="n">
        <v>10</v>
      </c>
      <c r="E38" s="7" t="n">
        <v>5</v>
      </c>
      <c r="F38" s="7" t="n">
        <v>5</v>
      </c>
      <c r="G38" s="7" t="s">
        <v>819</v>
      </c>
      <c r="H38" s="10" t="s">
        <v>164</v>
      </c>
      <c r="I38" s="7" t="s">
        <v>829</v>
      </c>
    </row>
    <row r="39" customFormat="false" ht="15" hidden="false" customHeight="true" outlineLevel="0" collapsed="false">
      <c r="A39" s="7" t="s">
        <v>136</v>
      </c>
      <c r="B39" s="7" t="n">
        <v>18</v>
      </c>
      <c r="C39" s="7" t="n">
        <v>18</v>
      </c>
      <c r="D39" s="7" t="n">
        <v>11</v>
      </c>
      <c r="E39" s="7" t="n">
        <v>6</v>
      </c>
      <c r="F39" s="7" t="n">
        <v>6</v>
      </c>
      <c r="G39" s="7"/>
      <c r="H39" s="7" t="s">
        <v>134</v>
      </c>
      <c r="I39" s="7"/>
    </row>
    <row r="40" customFormat="false" ht="15" hidden="false" customHeight="true" outlineLevel="0" collapsed="false">
      <c r="A40" s="7" t="s">
        <v>136</v>
      </c>
      <c r="B40" s="7" t="n">
        <v>19</v>
      </c>
      <c r="C40" s="7" t="n">
        <v>19</v>
      </c>
      <c r="D40" s="7" t="n">
        <v>11</v>
      </c>
      <c r="E40" s="7" t="n">
        <v>6</v>
      </c>
      <c r="F40" s="7" t="n">
        <v>6</v>
      </c>
      <c r="G40" s="7" t="s">
        <v>833</v>
      </c>
      <c r="H40" s="10" t="s">
        <v>164</v>
      </c>
      <c r="I40" s="7" t="s">
        <v>829</v>
      </c>
    </row>
    <row r="41" customFormat="false" ht="15" hidden="false" customHeight="true" outlineLevel="0" collapsed="false">
      <c r="A41" s="7" t="s">
        <v>136</v>
      </c>
      <c r="B41" s="7" t="n">
        <v>20</v>
      </c>
      <c r="C41" s="7" t="n">
        <v>20</v>
      </c>
      <c r="D41" s="7" t="n">
        <v>12</v>
      </c>
      <c r="E41" s="7" t="n">
        <v>6</v>
      </c>
      <c r="F41" s="7" t="n">
        <v>6</v>
      </c>
      <c r="G41" s="7"/>
      <c r="H41" s="7" t="s">
        <v>134</v>
      </c>
      <c r="I41" s="7"/>
    </row>
    <row r="42" customFormat="false" ht="26.25" hidden="false" customHeight="true" outlineLevel="0" collapsed="false">
      <c r="A42" s="7" t="s">
        <v>834</v>
      </c>
      <c r="B42" s="7" t="s">
        <v>835</v>
      </c>
      <c r="C42" s="7" t="s">
        <v>809</v>
      </c>
      <c r="D42" s="7" t="s">
        <v>809</v>
      </c>
      <c r="E42" s="7" t="s">
        <v>809</v>
      </c>
      <c r="F42" s="7" t="s">
        <v>809</v>
      </c>
      <c r="G42" s="7" t="s">
        <v>836</v>
      </c>
      <c r="H42" s="7" t="s">
        <v>134</v>
      </c>
      <c r="I42" s="7" t="s">
        <v>837</v>
      </c>
    </row>
    <row r="43" customFormat="false" ht="15" hidden="false" customHeight="true" outlineLevel="0" collapsed="false">
      <c r="A43" s="7" t="s">
        <v>838</v>
      </c>
      <c r="B43" s="7" t="s">
        <v>839</v>
      </c>
      <c r="C43" s="7"/>
      <c r="D43" s="7"/>
      <c r="E43" s="7"/>
      <c r="F43" s="7"/>
      <c r="G43" s="7" t="s">
        <v>840</v>
      </c>
      <c r="H43" s="7" t="s">
        <v>134</v>
      </c>
      <c r="I43" s="7" t="s">
        <v>841</v>
      </c>
    </row>
    <row r="44" customFormat="false" ht="15" hidden="false" customHeight="true" outlineLevel="0" collapsed="false">
      <c r="A44" s="7" t="s">
        <v>842</v>
      </c>
      <c r="B44" s="7" t="s">
        <v>843</v>
      </c>
      <c r="C44" s="7"/>
      <c r="D44" s="7"/>
      <c r="E44" s="7"/>
      <c r="F44" s="7"/>
      <c r="G44" s="7" t="s">
        <v>844</v>
      </c>
      <c r="H44" s="7" t="s">
        <v>134</v>
      </c>
      <c r="I44" s="7" t="s">
        <v>845</v>
      </c>
    </row>
    <row r="45" customFormat="false" ht="26.25" hidden="false" customHeight="true" outlineLevel="0" collapsed="false">
      <c r="A45" s="7" t="s">
        <v>174</v>
      </c>
      <c r="B45" s="7" t="n">
        <v>1</v>
      </c>
      <c r="C45" s="7" t="n">
        <v>0</v>
      </c>
      <c r="D45" s="7" t="n">
        <v>0</v>
      </c>
      <c r="E45" s="7" t="n">
        <v>0</v>
      </c>
      <c r="F45" s="7" t="n">
        <v>2</v>
      </c>
      <c r="G45" s="7" t="s">
        <v>846</v>
      </c>
      <c r="H45" s="7" t="s">
        <v>134</v>
      </c>
      <c r="I45" s="7" t="s">
        <v>847</v>
      </c>
    </row>
    <row r="46" customFormat="false" ht="26.25" hidden="false" customHeight="true" outlineLevel="0" collapsed="false">
      <c r="A46" s="7" t="s">
        <v>174</v>
      </c>
      <c r="B46" s="7" t="n">
        <v>2</v>
      </c>
      <c r="C46" s="7" t="n">
        <v>1</v>
      </c>
      <c r="D46" s="7" t="n">
        <v>0</v>
      </c>
      <c r="E46" s="7" t="n">
        <v>0</v>
      </c>
      <c r="F46" s="7" t="n">
        <v>3</v>
      </c>
      <c r="G46" s="7" t="s">
        <v>848</v>
      </c>
      <c r="H46" s="7" t="s">
        <v>134</v>
      </c>
      <c r="I46" s="7" t="s">
        <v>847</v>
      </c>
    </row>
    <row r="47" customFormat="false" ht="26.25" hidden="false" customHeight="true" outlineLevel="0" collapsed="false">
      <c r="A47" s="7" t="s">
        <v>174</v>
      </c>
      <c r="B47" s="7" t="n">
        <v>3</v>
      </c>
      <c r="C47" s="7" t="n">
        <v>1</v>
      </c>
      <c r="D47" s="7" t="n">
        <v>1</v>
      </c>
      <c r="E47" s="7" t="n">
        <v>1</v>
      </c>
      <c r="F47" s="7" t="n">
        <v>3</v>
      </c>
      <c r="G47" s="7" t="s">
        <v>849</v>
      </c>
      <c r="H47" s="7" t="s">
        <v>134</v>
      </c>
      <c r="I47" s="7" t="s">
        <v>847</v>
      </c>
    </row>
    <row r="48" customFormat="false" ht="26.25" hidden="false" customHeight="true" outlineLevel="0" collapsed="false">
      <c r="A48" s="7" t="s">
        <v>174</v>
      </c>
      <c r="B48" s="7" t="n">
        <v>4</v>
      </c>
      <c r="C48" s="7" t="n">
        <v>2</v>
      </c>
      <c r="D48" s="7" t="n">
        <v>1</v>
      </c>
      <c r="E48" s="7" t="n">
        <v>1</v>
      </c>
      <c r="F48" s="7" t="n">
        <v>4</v>
      </c>
      <c r="G48" s="7" t="s">
        <v>850</v>
      </c>
      <c r="H48" s="7" t="s">
        <v>134</v>
      </c>
      <c r="I48" s="7" t="s">
        <v>847</v>
      </c>
    </row>
    <row r="49" customFormat="false" ht="26.25" hidden="false" customHeight="true" outlineLevel="0" collapsed="false">
      <c r="A49" s="7" t="s">
        <v>174</v>
      </c>
      <c r="B49" s="7" t="n">
        <v>5</v>
      </c>
      <c r="C49" s="7" t="n">
        <v>2</v>
      </c>
      <c r="D49" s="7" t="n">
        <v>1</v>
      </c>
      <c r="E49" s="7" t="n">
        <v>1</v>
      </c>
      <c r="F49" s="7" t="n">
        <v>4</v>
      </c>
      <c r="G49" s="7" t="s">
        <v>851</v>
      </c>
      <c r="H49" s="7" t="s">
        <v>134</v>
      </c>
      <c r="I49" s="7" t="s">
        <v>847</v>
      </c>
    </row>
    <row r="50" customFormat="false" ht="26.25" hidden="false" customHeight="true" outlineLevel="0" collapsed="false">
      <c r="A50" s="7" t="s">
        <v>174</v>
      </c>
      <c r="B50" s="7" t="n">
        <v>6</v>
      </c>
      <c r="C50" s="7" t="n">
        <v>3</v>
      </c>
      <c r="D50" s="7" t="n">
        <v>2</v>
      </c>
      <c r="E50" s="7" t="n">
        <v>2</v>
      </c>
      <c r="F50" s="7" t="n">
        <v>5</v>
      </c>
      <c r="G50" s="7" t="s">
        <v>852</v>
      </c>
      <c r="H50" s="7" t="s">
        <v>134</v>
      </c>
      <c r="I50" s="7" t="s">
        <v>847</v>
      </c>
    </row>
    <row r="51" customFormat="false" ht="26.25" hidden="false" customHeight="true" outlineLevel="0" collapsed="false">
      <c r="A51" s="7" t="s">
        <v>174</v>
      </c>
      <c r="B51" s="7" t="n">
        <v>7</v>
      </c>
      <c r="C51" s="7" t="n">
        <v>3</v>
      </c>
      <c r="D51" s="7" t="n">
        <v>2</v>
      </c>
      <c r="E51" s="7" t="n">
        <v>2</v>
      </c>
      <c r="F51" s="7" t="n">
        <v>5</v>
      </c>
      <c r="G51" s="7" t="s">
        <v>853</v>
      </c>
      <c r="H51" s="7" t="s">
        <v>134</v>
      </c>
      <c r="I51" s="7" t="s">
        <v>847</v>
      </c>
    </row>
    <row r="52" customFormat="false" ht="26.25" hidden="false" customHeight="true" outlineLevel="0" collapsed="false">
      <c r="A52" s="7" t="s">
        <v>174</v>
      </c>
      <c r="B52" s="7" t="n">
        <v>8</v>
      </c>
      <c r="C52" s="7" t="n">
        <v>4</v>
      </c>
      <c r="D52" s="7" t="n">
        <v>2</v>
      </c>
      <c r="E52" s="7" t="n">
        <v>2</v>
      </c>
      <c r="F52" s="7" t="n">
        <v>6</v>
      </c>
      <c r="G52" s="7" t="s">
        <v>854</v>
      </c>
      <c r="H52" s="7" t="s">
        <v>134</v>
      </c>
      <c r="I52" s="7" t="s">
        <v>847</v>
      </c>
    </row>
    <row r="53" customFormat="false" ht="26.25" hidden="false" customHeight="true" outlineLevel="0" collapsed="false">
      <c r="A53" s="7" t="s">
        <v>174</v>
      </c>
      <c r="B53" s="7" t="n">
        <v>9</v>
      </c>
      <c r="C53" s="7" t="n">
        <v>4</v>
      </c>
      <c r="D53" s="7" t="n">
        <v>3</v>
      </c>
      <c r="E53" s="7" t="n">
        <v>3</v>
      </c>
      <c r="F53" s="7" t="n">
        <v>6</v>
      </c>
      <c r="G53" s="7" t="s">
        <v>851</v>
      </c>
      <c r="H53" s="7" t="s">
        <v>134</v>
      </c>
      <c r="I53" s="7" t="s">
        <v>847</v>
      </c>
    </row>
    <row r="54" customFormat="false" ht="26.25" hidden="false" customHeight="true" outlineLevel="0" collapsed="false">
      <c r="A54" s="7" t="s">
        <v>174</v>
      </c>
      <c r="B54" s="7" t="n">
        <v>10</v>
      </c>
      <c r="C54" s="7" t="n">
        <v>5</v>
      </c>
      <c r="D54" s="7" t="n">
        <v>3</v>
      </c>
      <c r="E54" s="7" t="n">
        <v>3</v>
      </c>
      <c r="F54" s="7" t="n">
        <v>7</v>
      </c>
      <c r="G54" s="7" t="s">
        <v>855</v>
      </c>
      <c r="H54" s="7" t="s">
        <v>134</v>
      </c>
      <c r="I54" s="7" t="s">
        <v>847</v>
      </c>
    </row>
    <row r="55" customFormat="false" ht="26.25" hidden="false" customHeight="true" outlineLevel="0" collapsed="false">
      <c r="A55" s="7" t="s">
        <v>174</v>
      </c>
      <c r="B55" s="7" t="n">
        <v>11</v>
      </c>
      <c r="C55" s="7"/>
      <c r="D55" s="7"/>
      <c r="E55" s="7"/>
      <c r="F55" s="7"/>
      <c r="G55" s="7" t="s">
        <v>856</v>
      </c>
      <c r="H55" s="7" t="s">
        <v>134</v>
      </c>
      <c r="I55" s="7" t="s">
        <v>857</v>
      </c>
    </row>
    <row r="56" customFormat="false" ht="26.25" hidden="false" customHeight="true" outlineLevel="0" collapsed="false">
      <c r="A56" s="7" t="s">
        <v>174</v>
      </c>
      <c r="B56" s="7" t="n">
        <v>12</v>
      </c>
      <c r="C56" s="7"/>
      <c r="D56" s="7"/>
      <c r="E56" s="7"/>
      <c r="F56" s="7"/>
      <c r="G56" s="7" t="s">
        <v>858</v>
      </c>
      <c r="H56" s="7" t="s">
        <v>134</v>
      </c>
      <c r="I56" s="7" t="s">
        <v>857</v>
      </c>
    </row>
    <row r="57" customFormat="false" ht="26.25" hidden="false" customHeight="true" outlineLevel="0" collapsed="false">
      <c r="A57" s="7" t="s">
        <v>174</v>
      </c>
      <c r="B57" s="7" t="n">
        <v>13</v>
      </c>
      <c r="C57" s="7"/>
      <c r="D57" s="7"/>
      <c r="E57" s="7"/>
      <c r="F57" s="7"/>
      <c r="G57" s="7" t="s">
        <v>859</v>
      </c>
      <c r="H57" s="7" t="s">
        <v>134</v>
      </c>
      <c r="I57" s="7" t="s">
        <v>857</v>
      </c>
    </row>
    <row r="58" customFormat="false" ht="26.25" hidden="false" customHeight="true" outlineLevel="0" collapsed="false">
      <c r="A58" s="7" t="s">
        <v>174</v>
      </c>
      <c r="B58" s="7" t="n">
        <v>14</v>
      </c>
      <c r="C58" s="7"/>
      <c r="D58" s="7"/>
      <c r="E58" s="7"/>
      <c r="F58" s="7"/>
      <c r="G58" s="7" t="s">
        <v>856</v>
      </c>
      <c r="H58" s="7" t="s">
        <v>134</v>
      </c>
      <c r="I58" s="7" t="s">
        <v>857</v>
      </c>
    </row>
    <row r="59" customFormat="false" ht="26.25" hidden="false" customHeight="true" outlineLevel="0" collapsed="false">
      <c r="A59" s="7" t="s">
        <v>174</v>
      </c>
      <c r="B59" s="7" t="n">
        <v>15</v>
      </c>
      <c r="C59" s="7"/>
      <c r="D59" s="7"/>
      <c r="E59" s="7"/>
      <c r="F59" s="7"/>
      <c r="G59" s="7" t="s">
        <v>860</v>
      </c>
      <c r="H59" s="7" t="s">
        <v>134</v>
      </c>
      <c r="I59" s="7" t="s">
        <v>857</v>
      </c>
    </row>
    <row r="60" customFormat="false" ht="26.25" hidden="false" customHeight="true" outlineLevel="0" collapsed="false">
      <c r="A60" s="7" t="s">
        <v>174</v>
      </c>
      <c r="B60" s="7" t="n">
        <v>16</v>
      </c>
      <c r="C60" s="7"/>
      <c r="D60" s="7"/>
      <c r="E60" s="7"/>
      <c r="F60" s="7"/>
      <c r="G60" s="7" t="s">
        <v>859</v>
      </c>
      <c r="H60" s="7" t="s">
        <v>134</v>
      </c>
      <c r="I60" s="7" t="s">
        <v>857</v>
      </c>
    </row>
    <row r="61" customFormat="false" ht="26.25" hidden="false" customHeight="true" outlineLevel="0" collapsed="false">
      <c r="A61" s="7" t="s">
        <v>174</v>
      </c>
      <c r="B61" s="7" t="n">
        <v>17</v>
      </c>
      <c r="C61" s="7"/>
      <c r="D61" s="7"/>
      <c r="E61" s="7"/>
      <c r="F61" s="7"/>
      <c r="G61" s="7" t="s">
        <v>856</v>
      </c>
      <c r="H61" s="7" t="s">
        <v>134</v>
      </c>
      <c r="I61" s="7" t="s">
        <v>857</v>
      </c>
    </row>
    <row r="62" customFormat="false" ht="26.25" hidden="false" customHeight="true" outlineLevel="0" collapsed="false">
      <c r="A62" s="7" t="s">
        <v>174</v>
      </c>
      <c r="B62" s="7" t="n">
        <v>18</v>
      </c>
      <c r="C62" s="7"/>
      <c r="D62" s="7"/>
      <c r="E62" s="7"/>
      <c r="F62" s="7"/>
      <c r="G62" s="7" t="s">
        <v>861</v>
      </c>
      <c r="H62" s="7" t="s">
        <v>134</v>
      </c>
      <c r="I62" s="7" t="s">
        <v>857</v>
      </c>
    </row>
    <row r="63" customFormat="false" ht="26.25" hidden="false" customHeight="true" outlineLevel="0" collapsed="false">
      <c r="A63" s="7" t="s">
        <v>174</v>
      </c>
      <c r="B63" s="7" t="n">
        <v>19</v>
      </c>
      <c r="C63" s="7"/>
      <c r="D63" s="7"/>
      <c r="E63" s="7"/>
      <c r="F63" s="7"/>
      <c r="G63" s="7" t="s">
        <v>859</v>
      </c>
      <c r="H63" s="7" t="s">
        <v>134</v>
      </c>
      <c r="I63" s="7" t="s">
        <v>857</v>
      </c>
    </row>
    <row r="64" customFormat="false" ht="39" hidden="false" customHeight="true" outlineLevel="0" collapsed="false">
      <c r="A64" s="7" t="s">
        <v>174</v>
      </c>
      <c r="B64" s="7" t="n">
        <v>20</v>
      </c>
      <c r="C64" s="7"/>
      <c r="D64" s="7"/>
      <c r="E64" s="7"/>
      <c r="F64" s="7"/>
      <c r="G64" s="7" t="s">
        <v>862</v>
      </c>
      <c r="H64" s="7" t="s">
        <v>134</v>
      </c>
      <c r="I64" s="7" t="s">
        <v>857</v>
      </c>
    </row>
    <row r="65" customFormat="false" ht="39.55" hidden="false" customHeight="false" outlineLevel="0" collapsed="false">
      <c r="A65" s="7" t="s">
        <v>166</v>
      </c>
      <c r="B65" s="7" t="n">
        <v>1</v>
      </c>
      <c r="C65" s="7" t="n">
        <v>0</v>
      </c>
      <c r="D65" s="7" t="n">
        <v>0</v>
      </c>
      <c r="E65" s="7" t="n">
        <v>0</v>
      </c>
      <c r="F65" s="7" t="n">
        <v>2</v>
      </c>
      <c r="G65" s="7" t="s">
        <v>863</v>
      </c>
      <c r="H65" s="7" t="s">
        <v>134</v>
      </c>
      <c r="I65" s="7" t="s">
        <v>864</v>
      </c>
    </row>
    <row r="66" customFormat="false" ht="26.85" hidden="false" customHeight="false" outlineLevel="0" collapsed="false">
      <c r="A66" s="7" t="s">
        <v>166</v>
      </c>
      <c r="B66" s="7" t="n">
        <v>2</v>
      </c>
      <c r="C66" s="7" t="n">
        <v>1</v>
      </c>
      <c r="D66" s="7" t="n">
        <v>0</v>
      </c>
      <c r="E66" s="7" t="n">
        <v>0</v>
      </c>
      <c r="F66" s="7" t="n">
        <v>3</v>
      </c>
      <c r="G66" s="7" t="s">
        <v>865</v>
      </c>
      <c r="H66" s="7" t="s">
        <v>134</v>
      </c>
      <c r="I66" s="7" t="s">
        <v>864</v>
      </c>
    </row>
    <row r="67" customFormat="false" ht="26.85" hidden="false" customHeight="false" outlineLevel="0" collapsed="false">
      <c r="A67" s="7" t="s">
        <v>166</v>
      </c>
      <c r="B67" s="7" t="n">
        <v>3</v>
      </c>
      <c r="C67" s="7" t="n">
        <v>1</v>
      </c>
      <c r="D67" s="7" t="n">
        <v>1</v>
      </c>
      <c r="E67" s="7" t="n">
        <v>1</v>
      </c>
      <c r="F67" s="7" t="n">
        <v>3</v>
      </c>
      <c r="G67" s="7" t="s">
        <v>866</v>
      </c>
      <c r="H67" s="7" t="s">
        <v>134</v>
      </c>
      <c r="I67" s="7" t="s">
        <v>864</v>
      </c>
    </row>
    <row r="68" customFormat="false" ht="26.85" hidden="false" customHeight="false" outlineLevel="0" collapsed="false">
      <c r="A68" s="7" t="s">
        <v>166</v>
      </c>
      <c r="B68" s="7" t="n">
        <v>4</v>
      </c>
      <c r="C68" s="7" t="n">
        <v>2</v>
      </c>
      <c r="D68" s="7" t="n">
        <v>1</v>
      </c>
      <c r="E68" s="7" t="n">
        <v>1</v>
      </c>
      <c r="F68" s="7" t="n">
        <v>4</v>
      </c>
      <c r="G68" s="7" t="s">
        <v>867</v>
      </c>
      <c r="H68" s="7" t="s">
        <v>134</v>
      </c>
      <c r="I68" s="7" t="s">
        <v>864</v>
      </c>
    </row>
    <row r="69" customFormat="false" ht="26.85" hidden="false" customHeight="false" outlineLevel="0" collapsed="false">
      <c r="A69" s="7" t="s">
        <v>166</v>
      </c>
      <c r="B69" s="7" t="n">
        <v>5</v>
      </c>
      <c r="C69" s="7" t="n">
        <v>2</v>
      </c>
      <c r="D69" s="7" t="n">
        <v>1</v>
      </c>
      <c r="E69" s="7" t="n">
        <v>1</v>
      </c>
      <c r="F69" s="7" t="n">
        <v>4</v>
      </c>
      <c r="G69" s="7" t="s">
        <v>868</v>
      </c>
      <c r="H69" s="7" t="s">
        <v>134</v>
      </c>
      <c r="I69" s="7" t="s">
        <v>864</v>
      </c>
    </row>
    <row r="70" customFormat="false" ht="39.55" hidden="false" customHeight="false" outlineLevel="0" collapsed="false">
      <c r="A70" s="7" t="s">
        <v>166</v>
      </c>
      <c r="B70" s="7" t="n">
        <v>6</v>
      </c>
      <c r="C70" s="7" t="n">
        <v>3</v>
      </c>
      <c r="D70" s="7" t="n">
        <v>2</v>
      </c>
      <c r="E70" s="7" t="n">
        <v>2</v>
      </c>
      <c r="F70" s="7" t="n">
        <v>5</v>
      </c>
      <c r="G70" s="7" t="s">
        <v>869</v>
      </c>
      <c r="H70" s="7" t="s">
        <v>134</v>
      </c>
      <c r="I70" s="7" t="s">
        <v>864</v>
      </c>
    </row>
    <row r="71" customFormat="false" ht="26.85" hidden="false" customHeight="false" outlineLevel="0" collapsed="false">
      <c r="A71" s="7" t="s">
        <v>166</v>
      </c>
      <c r="B71" s="7" t="n">
        <v>7</v>
      </c>
      <c r="C71" s="7" t="n">
        <v>3</v>
      </c>
      <c r="D71" s="7" t="n">
        <v>2</v>
      </c>
      <c r="E71" s="7" t="n">
        <v>2</v>
      </c>
      <c r="F71" s="7" t="n">
        <v>5</v>
      </c>
      <c r="G71" s="7" t="s">
        <v>870</v>
      </c>
      <c r="H71" s="7" t="s">
        <v>134</v>
      </c>
      <c r="I71" s="7" t="s">
        <v>864</v>
      </c>
    </row>
  </sheetData>
  <autoFilter ref="A1:I44"/>
  <dataValidations count="1">
    <dataValidation allowBlank="true" errorStyle="stop" operator="between" showDropDown="false" showErrorMessage="false" showInputMessage="false" sqref="H2:H93" type="list">
      <formula1>"draft,to confirm,to complete,reviewed"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36"/>
    <col collapsed="false" customWidth="true" hidden="false" outlineLevel="0" max="4" min="4" style="1" width="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8" t="s">
        <v>871</v>
      </c>
      <c r="B1" s="8" t="s">
        <v>872</v>
      </c>
      <c r="C1" s="8" t="s">
        <v>873</v>
      </c>
      <c r="D1" s="8" t="s">
        <v>804</v>
      </c>
      <c r="E1" s="8" t="s">
        <v>628</v>
      </c>
    </row>
    <row r="2" customFormat="false" ht="26.25" hidden="false" customHeight="true" outlineLevel="0" collapsed="false">
      <c r="A2" s="7" t="s">
        <v>157</v>
      </c>
      <c r="B2" s="7" t="s">
        <v>808</v>
      </c>
      <c r="C2" s="7" t="s">
        <v>301</v>
      </c>
      <c r="D2" s="7"/>
      <c r="E2" s="7" t="s">
        <v>874</v>
      </c>
    </row>
    <row r="3" customFormat="false" ht="26.25" hidden="false" customHeight="true" outlineLevel="0" collapsed="false">
      <c r="A3" s="7" t="s">
        <v>157</v>
      </c>
      <c r="B3" s="7" t="s">
        <v>808</v>
      </c>
      <c r="C3" s="7" t="s">
        <v>307</v>
      </c>
      <c r="D3" s="7"/>
      <c r="E3" s="7" t="s">
        <v>874</v>
      </c>
    </row>
    <row r="4" customFormat="false" ht="26.25" hidden="false" customHeight="true" outlineLevel="0" collapsed="false">
      <c r="A4" s="7" t="s">
        <v>157</v>
      </c>
      <c r="B4" s="7" t="s">
        <v>808</v>
      </c>
      <c r="C4" s="7" t="s">
        <v>311</v>
      </c>
      <c r="D4" s="7"/>
      <c r="E4" s="7" t="s">
        <v>874</v>
      </c>
    </row>
    <row r="5" customFormat="false" ht="15" hidden="false" customHeight="true" outlineLevel="0" collapsed="false">
      <c r="A5" s="7" t="s">
        <v>157</v>
      </c>
      <c r="B5" s="7" t="s">
        <v>808</v>
      </c>
      <c r="C5" s="7" t="s">
        <v>315</v>
      </c>
      <c r="D5" s="7"/>
      <c r="E5" s="7" t="s">
        <v>874</v>
      </c>
    </row>
    <row r="6" customFormat="false" ht="15" hidden="false" customHeight="true" outlineLevel="0" collapsed="false">
      <c r="A6" s="7" t="s">
        <v>157</v>
      </c>
      <c r="B6" s="7" t="s">
        <v>808</v>
      </c>
      <c r="C6" s="7" t="s">
        <v>320</v>
      </c>
      <c r="D6" s="7"/>
      <c r="E6" s="7" t="s">
        <v>874</v>
      </c>
    </row>
    <row r="7" customFormat="false" ht="15" hidden="false" customHeight="true" outlineLevel="0" collapsed="false">
      <c r="A7" s="7" t="s">
        <v>174</v>
      </c>
      <c r="B7" s="7" t="s">
        <v>808</v>
      </c>
      <c r="C7" s="7" t="s">
        <v>324</v>
      </c>
      <c r="D7" s="7"/>
      <c r="E7" s="7"/>
    </row>
    <row r="8" customFormat="false" ht="15" hidden="false" customHeight="true" outlineLevel="0" collapsed="false">
      <c r="A8" s="7" t="s">
        <v>200</v>
      </c>
      <c r="B8" s="7" t="s">
        <v>808</v>
      </c>
      <c r="C8" s="7" t="s">
        <v>373</v>
      </c>
      <c r="D8" s="7"/>
      <c r="E8" s="7"/>
    </row>
    <row r="9" customFormat="false" ht="15" hidden="false" customHeight="true" outlineLevel="0" collapsed="false">
      <c r="A9" s="7" t="s">
        <v>200</v>
      </c>
      <c r="B9" s="7" t="s">
        <v>808</v>
      </c>
      <c r="C9" s="7" t="s">
        <v>379</v>
      </c>
      <c r="D9" s="7"/>
      <c r="E9" s="7"/>
    </row>
    <row r="10" customFormat="false" ht="15" hidden="false" customHeight="true" outlineLevel="0" collapsed="false">
      <c r="A10" s="7" t="s">
        <v>213</v>
      </c>
      <c r="B10" s="7" t="s">
        <v>875</v>
      </c>
      <c r="C10" s="7" t="s">
        <v>208</v>
      </c>
      <c r="D10" s="7"/>
      <c r="E10" s="7"/>
    </row>
    <row r="11" customFormat="false" ht="15" hidden="false" customHeight="true" outlineLevel="0" collapsed="false">
      <c r="A11" s="7" t="s">
        <v>385</v>
      </c>
      <c r="B11" s="7" t="s">
        <v>876</v>
      </c>
      <c r="C11" s="7" t="s">
        <v>145</v>
      </c>
      <c r="D11" s="7" t="s">
        <v>639</v>
      </c>
      <c r="E11" s="7" t="s">
        <v>148</v>
      </c>
    </row>
    <row r="12" customFormat="false" ht="15" hidden="false" customHeight="true" outlineLevel="0" collapsed="false">
      <c r="A12" s="7" t="s">
        <v>385</v>
      </c>
      <c r="B12" s="7" t="s">
        <v>876</v>
      </c>
      <c r="C12" s="7" t="s">
        <v>152</v>
      </c>
      <c r="D12" s="7" t="s">
        <v>639</v>
      </c>
      <c r="E12" s="7" t="s">
        <v>148</v>
      </c>
    </row>
    <row r="13" customFormat="false" ht="15" hidden="false" customHeight="true" outlineLevel="0" collapsed="false">
      <c r="A13" s="7" t="s">
        <v>392</v>
      </c>
      <c r="B13" s="7" t="s">
        <v>876</v>
      </c>
      <c r="C13" s="7" t="s">
        <v>145</v>
      </c>
      <c r="D13" s="7" t="s">
        <v>639</v>
      </c>
      <c r="E13" s="7" t="s">
        <v>148</v>
      </c>
    </row>
    <row r="14" customFormat="false" ht="15" hidden="false" customHeight="true" outlineLevel="0" collapsed="false">
      <c r="A14" s="7" t="s">
        <v>396</v>
      </c>
      <c r="B14" s="7" t="s">
        <v>876</v>
      </c>
      <c r="C14" s="7" t="s">
        <v>145</v>
      </c>
      <c r="D14" s="7" t="s">
        <v>639</v>
      </c>
      <c r="E14" s="7" t="s">
        <v>148</v>
      </c>
    </row>
    <row r="15" customFormat="false" ht="15" hidden="false" customHeight="true" outlineLevel="0" collapsed="false">
      <c r="A15" s="7" t="s">
        <v>407</v>
      </c>
      <c r="B15" s="7" t="s">
        <v>876</v>
      </c>
      <c r="C15" s="7" t="s">
        <v>145</v>
      </c>
      <c r="D15" s="7"/>
      <c r="E15" s="7" t="s">
        <v>877</v>
      </c>
    </row>
    <row r="16" customFormat="false" ht="15" hidden="false" customHeight="true" outlineLevel="0" collapsed="false">
      <c r="A16" s="7" t="s">
        <v>400</v>
      </c>
      <c r="B16" s="7" t="s">
        <v>876</v>
      </c>
      <c r="C16" s="7" t="s">
        <v>145</v>
      </c>
      <c r="D16" s="7"/>
      <c r="E16" s="7" t="s">
        <v>878</v>
      </c>
    </row>
    <row r="17" customFormat="false" ht="15" hidden="false" customHeight="true" outlineLevel="0" collapsed="false">
      <c r="A17" s="7" t="s">
        <v>413</v>
      </c>
      <c r="B17" s="7" t="s">
        <v>876</v>
      </c>
      <c r="C17" s="7" t="s">
        <v>145</v>
      </c>
      <c r="D17" s="7" t="s">
        <v>607</v>
      </c>
      <c r="E17" s="7" t="s">
        <v>148</v>
      </c>
    </row>
    <row r="18" customFormat="false" ht="15" hidden="false" customHeight="true" outlineLevel="0" collapsed="false">
      <c r="A18" s="7" t="s">
        <v>174</v>
      </c>
      <c r="B18" s="7" t="s">
        <v>808</v>
      </c>
      <c r="C18" s="7" t="s">
        <v>503</v>
      </c>
      <c r="D18" s="7" t="s">
        <v>745</v>
      </c>
      <c r="E18" s="7" t="s">
        <v>879</v>
      </c>
    </row>
    <row r="19" customFormat="false" ht="26.25" hidden="false" customHeight="true" outlineLevel="0" collapsed="false">
      <c r="A19" s="7" t="s">
        <v>136</v>
      </c>
      <c r="B19" s="7" t="s">
        <v>808</v>
      </c>
      <c r="C19" s="7" t="s">
        <v>497</v>
      </c>
      <c r="D19" s="7" t="s">
        <v>639</v>
      </c>
      <c r="E19" s="7"/>
    </row>
    <row r="20" customFormat="false" ht="15" hidden="false" customHeight="true" outlineLevel="0" collapsed="false">
      <c r="A20" s="7" t="s">
        <v>487</v>
      </c>
      <c r="B20" s="7" t="s">
        <v>876</v>
      </c>
      <c r="C20" s="7" t="s">
        <v>145</v>
      </c>
      <c r="D20" s="7"/>
      <c r="E20" s="7" t="s">
        <v>880</v>
      </c>
    </row>
    <row r="21" customFormat="false" ht="15" hidden="false" customHeight="true" outlineLevel="0" collapsed="false">
      <c r="A21" s="7" t="s">
        <v>493</v>
      </c>
      <c r="B21" s="7" t="s">
        <v>876</v>
      </c>
      <c r="C21" s="7" t="s">
        <v>145</v>
      </c>
      <c r="D21" s="7"/>
      <c r="E21" s="7" t="s">
        <v>880</v>
      </c>
    </row>
    <row r="22" customFormat="false" ht="15" hidden="false" customHeight="true" outlineLevel="0" collapsed="false">
      <c r="A22" s="7" t="s">
        <v>166</v>
      </c>
      <c r="B22" s="7" t="s">
        <v>808</v>
      </c>
      <c r="C22" s="7" t="s">
        <v>550</v>
      </c>
      <c r="D22" s="7"/>
      <c r="E22" s="7"/>
    </row>
    <row r="23" customFormat="false" ht="15" hidden="false" customHeight="false" outlineLevel="0" collapsed="false">
      <c r="A23" s="7" t="s">
        <v>166</v>
      </c>
      <c r="B23" s="7" t="s">
        <v>808</v>
      </c>
      <c r="C23" s="7" t="s">
        <v>585</v>
      </c>
      <c r="D23" s="7"/>
      <c r="E23" s="7"/>
    </row>
    <row r="24" customFormat="false" ht="15" hidden="false" customHeight="false" outlineLevel="0" collapsed="false">
      <c r="A24" s="7" t="s">
        <v>166</v>
      </c>
      <c r="B24" s="7" t="s">
        <v>808</v>
      </c>
      <c r="C24" s="7" t="s">
        <v>591</v>
      </c>
      <c r="D24" s="7"/>
      <c r="E24" s="7"/>
    </row>
    <row r="25" customFormat="false" ht="15" hidden="false" customHeight="false" outlineLevel="0" collapsed="false">
      <c r="A25" s="7" t="s">
        <v>166</v>
      </c>
      <c r="B25" s="7" t="s">
        <v>808</v>
      </c>
      <c r="C25" s="7" t="s">
        <v>596</v>
      </c>
      <c r="D25" s="7"/>
      <c r="E25" s="7"/>
    </row>
    <row r="26" customFormat="false" ht="15" hidden="false" customHeight="false" outlineLevel="0" collapsed="false">
      <c r="A26" s="7" t="s">
        <v>166</v>
      </c>
      <c r="B26" s="7" t="s">
        <v>808</v>
      </c>
      <c r="C26" s="7" t="s">
        <v>600</v>
      </c>
      <c r="D26" s="7"/>
      <c r="E26" s="7"/>
    </row>
    <row r="27" customFormat="false" ht="15" hidden="false" customHeight="false" outlineLevel="0" collapsed="false">
      <c r="A27" s="7" t="s">
        <v>166</v>
      </c>
      <c r="B27" s="7" t="s">
        <v>808</v>
      </c>
      <c r="C27" s="7" t="s">
        <v>604</v>
      </c>
      <c r="D27" s="7"/>
      <c r="E27" s="7"/>
    </row>
    <row r="28" customFormat="false" ht="15" hidden="false" customHeight="false" outlineLevel="0" collapsed="false">
      <c r="A28" s="7" t="s">
        <v>166</v>
      </c>
      <c r="B28" s="7" t="s">
        <v>808</v>
      </c>
      <c r="C28" s="7" t="s">
        <v>556</v>
      </c>
      <c r="D28" s="7"/>
      <c r="E28" s="7"/>
    </row>
    <row r="29" customFormat="false" ht="15" hidden="false" customHeight="false" outlineLevel="0" collapsed="false">
      <c r="A29" s="7" t="s">
        <v>166</v>
      </c>
      <c r="B29" s="7" t="s">
        <v>808</v>
      </c>
      <c r="C29" s="7" t="s">
        <v>561</v>
      </c>
      <c r="D29" s="7"/>
      <c r="E29" s="7"/>
    </row>
    <row r="30" customFormat="false" ht="15" hidden="false" customHeight="false" outlineLevel="0" collapsed="false">
      <c r="A30" s="7" t="s">
        <v>166</v>
      </c>
      <c r="B30" s="7" t="s">
        <v>808</v>
      </c>
      <c r="C30" s="7" t="s">
        <v>565</v>
      </c>
      <c r="D30" s="7"/>
      <c r="E30" s="7"/>
    </row>
    <row r="31" customFormat="false" ht="15" hidden="false" customHeight="false" outlineLevel="0" collapsed="false">
      <c r="A31" s="7" t="s">
        <v>166</v>
      </c>
      <c r="B31" s="7" t="s">
        <v>808</v>
      </c>
      <c r="C31" s="7" t="s">
        <v>569</v>
      </c>
      <c r="D31" s="7"/>
      <c r="E31" s="7"/>
    </row>
    <row r="32" customFormat="false" ht="15" hidden="false" customHeight="false" outlineLevel="0" collapsed="false">
      <c r="A32" s="7" t="s">
        <v>166</v>
      </c>
      <c r="B32" s="7" t="s">
        <v>808</v>
      </c>
      <c r="C32" s="7" t="s">
        <v>573</v>
      </c>
      <c r="D32" s="7"/>
      <c r="E32" s="7"/>
    </row>
    <row r="33" customFormat="false" ht="15" hidden="false" customHeight="false" outlineLevel="0" collapsed="false">
      <c r="A33" s="7" t="s">
        <v>166</v>
      </c>
      <c r="B33" s="7" t="s">
        <v>808</v>
      </c>
      <c r="C33" s="7" t="s">
        <v>577</v>
      </c>
      <c r="D33" s="7"/>
      <c r="E33" s="7"/>
    </row>
    <row r="34" customFormat="false" ht="15" hidden="false" customHeight="false" outlineLevel="0" collapsed="false">
      <c r="A34" s="7" t="s">
        <v>166</v>
      </c>
      <c r="B34" s="7" t="s">
        <v>808</v>
      </c>
      <c r="C34" s="7" t="s">
        <v>581</v>
      </c>
      <c r="D34" s="7"/>
      <c r="E34" s="7"/>
    </row>
    <row r="35" customFormat="false" ht="15" hidden="false" customHeight="false" outlineLevel="0" collapsed="false">
      <c r="A35" s="7" t="s">
        <v>438</v>
      </c>
      <c r="B35" s="7" t="s">
        <v>876</v>
      </c>
      <c r="C35" s="7" t="s">
        <v>145</v>
      </c>
      <c r="D35" s="7" t="s">
        <v>668</v>
      </c>
      <c r="E35" s="7" t="s">
        <v>881</v>
      </c>
    </row>
    <row r="36" customFormat="false" ht="15" hidden="false" customHeight="false" outlineLevel="0" collapsed="false">
      <c r="A36" s="7" t="s">
        <v>438</v>
      </c>
      <c r="B36" s="7" t="s">
        <v>876</v>
      </c>
      <c r="C36" s="7" t="s">
        <v>152</v>
      </c>
      <c r="D36" s="7" t="s">
        <v>668</v>
      </c>
      <c r="E36" s="7" t="s">
        <v>881</v>
      </c>
    </row>
    <row r="37" customFormat="false" ht="15" hidden="false" customHeight="false" outlineLevel="0" collapsed="false">
      <c r="A37" s="7" t="s">
        <v>443</v>
      </c>
      <c r="B37" s="7" t="s">
        <v>876</v>
      </c>
      <c r="C37" s="7" t="s">
        <v>145</v>
      </c>
      <c r="D37" s="7" t="s">
        <v>668</v>
      </c>
      <c r="E37" s="7" t="s">
        <v>881</v>
      </c>
    </row>
    <row r="38" customFormat="false" ht="15" hidden="false" customHeight="false" outlineLevel="0" collapsed="false">
      <c r="A38" s="7" t="s">
        <v>443</v>
      </c>
      <c r="B38" s="7" t="s">
        <v>876</v>
      </c>
      <c r="C38" s="7" t="s">
        <v>152</v>
      </c>
      <c r="D38" s="7" t="s">
        <v>668</v>
      </c>
      <c r="E38" s="7" t="s">
        <v>881</v>
      </c>
    </row>
  </sheetData>
  <autoFilter ref="A1:E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7" min="2" style="1" width="11"/>
  </cols>
  <sheetData>
    <row r="1" customFormat="false" ht="39" hidden="false" customHeight="true" outlineLevel="0" collapsed="false">
      <c r="A1" s="5" t="s">
        <v>882</v>
      </c>
      <c r="B1" s="5" t="s">
        <v>883</v>
      </c>
      <c r="C1" s="5" t="s">
        <v>83</v>
      </c>
      <c r="D1" s="5" t="s">
        <v>884</v>
      </c>
      <c r="E1" s="5" t="s">
        <v>196</v>
      </c>
      <c r="F1" s="5" t="s">
        <v>201</v>
      </c>
      <c r="G1" s="5" t="s">
        <v>205</v>
      </c>
      <c r="H1" s="5" t="s">
        <v>885</v>
      </c>
      <c r="I1" s="5" t="s">
        <v>611</v>
      </c>
      <c r="J1" s="5" t="s">
        <v>886</v>
      </c>
      <c r="K1" s="5" t="s">
        <v>887</v>
      </c>
      <c r="L1" s="5" t="s">
        <v>888</v>
      </c>
      <c r="M1" s="5" t="s">
        <v>889</v>
      </c>
      <c r="N1" s="5" t="s">
        <v>890</v>
      </c>
      <c r="O1" s="5" t="s">
        <v>891</v>
      </c>
      <c r="P1" s="5" t="s">
        <v>892</v>
      </c>
      <c r="Q1" s="5" t="s">
        <v>893</v>
      </c>
    </row>
    <row r="2" customFormat="false" ht="15" hidden="false" customHeight="true" outlineLevel="0" collapsed="false">
      <c r="A2" s="11" t="s">
        <v>894</v>
      </c>
      <c r="B2" s="12" t="n">
        <v>18</v>
      </c>
      <c r="C2" s="11"/>
      <c r="D2" s="11"/>
      <c r="E2" s="11"/>
      <c r="F2" s="12" t="n">
        <v>8</v>
      </c>
      <c r="G2" s="12" t="n">
        <v>2</v>
      </c>
      <c r="H2" s="12" t="n">
        <v>5</v>
      </c>
      <c r="I2" s="12" t="n">
        <v>2</v>
      </c>
      <c r="J2" s="12" t="n">
        <v>16</v>
      </c>
      <c r="K2" s="12" t="n">
        <v>12</v>
      </c>
      <c r="L2" s="12" t="n">
        <v>16</v>
      </c>
      <c r="M2" s="12" t="n">
        <v>32</v>
      </c>
      <c r="N2" s="11" t="n">
        <f aca="false">SUM(B2:M2)</f>
        <v>111</v>
      </c>
      <c r="O2" s="11" t="n">
        <f aca="false">ROUNDDOWN((N2-10)/2,0)</f>
        <v>50</v>
      </c>
      <c r="P2" s="12" t="n">
        <v>111</v>
      </c>
      <c r="Q2" s="11" t="str">
        <f aca="false">IF(N2=P2,"OK","MISMATCH")</f>
        <v>OK</v>
      </c>
    </row>
    <row r="3" customFormat="false" ht="15" hidden="false" customHeight="true" outlineLevel="0" collapsed="false">
      <c r="A3" s="11" t="s">
        <v>895</v>
      </c>
      <c r="B3" s="12" t="n">
        <v>16</v>
      </c>
      <c r="C3" s="11"/>
      <c r="D3" s="11"/>
      <c r="E3" s="11"/>
      <c r="F3" s="11"/>
      <c r="G3" s="12" t="n">
        <v>2</v>
      </c>
      <c r="H3" s="11"/>
      <c r="I3" s="12" t="n">
        <v>2</v>
      </c>
      <c r="J3" s="11"/>
      <c r="K3" s="11"/>
      <c r="L3" s="12" t="n">
        <v>16</v>
      </c>
      <c r="M3" s="11"/>
      <c r="N3" s="11" t="n">
        <f aca="false">SUM(B3:M3)</f>
        <v>36</v>
      </c>
      <c r="O3" s="11" t="n">
        <f aca="false">ROUNDDOWN((N3-10)/2,0)</f>
        <v>13</v>
      </c>
      <c r="P3" s="12" t="n">
        <v>36</v>
      </c>
      <c r="Q3" s="11" t="str">
        <f aca="false">IF(N3=P3,"OK","MISMATCH")</f>
        <v>OK</v>
      </c>
    </row>
    <row r="4" customFormat="false" ht="15" hidden="false" customHeight="true" outlineLevel="0" collapsed="false">
      <c r="A4" s="11" t="s">
        <v>896</v>
      </c>
      <c r="B4" s="12" t="n">
        <v>16</v>
      </c>
      <c r="C4" s="11"/>
      <c r="D4" s="11"/>
      <c r="E4" s="11"/>
      <c r="F4" s="12" t="n">
        <v>6</v>
      </c>
      <c r="G4" s="12" t="n">
        <v>2</v>
      </c>
      <c r="H4" s="12" t="n">
        <v>5</v>
      </c>
      <c r="I4" s="12" t="n">
        <v>2</v>
      </c>
      <c r="J4" s="12" t="n">
        <v>16</v>
      </c>
      <c r="K4" s="12" t="n">
        <v>6</v>
      </c>
      <c r="L4" s="12" t="n">
        <v>16</v>
      </c>
      <c r="M4" s="12" t="n">
        <v>16</v>
      </c>
      <c r="N4" s="11" t="n">
        <f aca="false">SUM(B4:M4)</f>
        <v>85</v>
      </c>
      <c r="O4" s="11" t="n">
        <f aca="false">ROUNDDOWN((N4-10)/2,0)</f>
        <v>37</v>
      </c>
      <c r="P4" s="12" t="n">
        <v>85</v>
      </c>
      <c r="Q4" s="11" t="str">
        <f aca="false">IF(N4=P4,"OK","MISMATCH")</f>
        <v>OK</v>
      </c>
    </row>
    <row r="5" customFormat="false" ht="15" hidden="false" customHeight="true" outlineLevel="0" collapsed="false">
      <c r="A5" s="11" t="s">
        <v>897</v>
      </c>
      <c r="B5" s="12" t="n">
        <v>18</v>
      </c>
      <c r="C5" s="12" t="n">
        <v>2</v>
      </c>
      <c r="D5" s="12" t="n">
        <v>14</v>
      </c>
      <c r="E5" s="12" t="n">
        <v>2</v>
      </c>
      <c r="F5" s="12" t="n">
        <v>4</v>
      </c>
      <c r="G5" s="12" t="n">
        <v>2</v>
      </c>
      <c r="H5" s="12" t="n">
        <v>5</v>
      </c>
      <c r="I5" s="12" t="n">
        <v>2</v>
      </c>
      <c r="J5" s="12" t="n">
        <v>16</v>
      </c>
      <c r="K5" s="11"/>
      <c r="L5" s="11"/>
      <c r="M5" s="11"/>
      <c r="N5" s="11" t="n">
        <f aca="false">SUM(B5:M5)</f>
        <v>65</v>
      </c>
      <c r="O5" s="11" t="n">
        <f aca="false">ROUNDDOWN((N5-10)/2,0)</f>
        <v>27</v>
      </c>
      <c r="P5" s="12" t="n">
        <v>65</v>
      </c>
      <c r="Q5" s="11" t="str">
        <f aca="false">IF(N5=P5,"OK","MISMATCH")</f>
        <v>OK</v>
      </c>
    </row>
    <row r="6" customFormat="false" ht="15" hidden="false" customHeight="true" outlineLevel="0" collapsed="false">
      <c r="A6" s="11" t="s">
        <v>898</v>
      </c>
      <c r="B6" s="12" t="n">
        <v>12</v>
      </c>
      <c r="C6" s="11"/>
      <c r="D6" s="11"/>
      <c r="E6" s="11"/>
      <c r="F6" s="11"/>
      <c r="G6" s="12" t="n">
        <v>2</v>
      </c>
      <c r="H6" s="11"/>
      <c r="I6" s="12" t="n">
        <v>2</v>
      </c>
      <c r="J6" s="11"/>
      <c r="K6" s="11"/>
      <c r="L6" s="11"/>
      <c r="M6" s="11"/>
      <c r="N6" s="11" t="n">
        <f aca="false">SUM(B6:M6)</f>
        <v>16</v>
      </c>
      <c r="O6" s="11" t="n">
        <f aca="false">ROUNDDOWN((N6-10)/2,0)</f>
        <v>3</v>
      </c>
      <c r="P6" s="12" t="n">
        <v>16</v>
      </c>
      <c r="Q6" s="11" t="str">
        <f aca="false">IF(N6=P6,"OK","MISMATCH")</f>
        <v>OK</v>
      </c>
    </row>
    <row r="7" customFormat="false" ht="15" hidden="false" customHeight="true" outlineLevel="0" collapsed="false">
      <c r="A7" s="11" t="s">
        <v>899</v>
      </c>
      <c r="B7" s="12" t="n">
        <v>12</v>
      </c>
      <c r="C7" s="12" t="n">
        <v>-2</v>
      </c>
      <c r="D7" s="11"/>
      <c r="E7" s="11"/>
      <c r="F7" s="12" t="n">
        <v>2</v>
      </c>
      <c r="G7" s="12" t="n">
        <v>2</v>
      </c>
      <c r="H7" s="12" t="n">
        <v>5</v>
      </c>
      <c r="I7" s="12" t="n">
        <v>2</v>
      </c>
      <c r="J7" s="11"/>
      <c r="K7" s="11"/>
      <c r="L7" s="11"/>
      <c r="M7" s="11"/>
      <c r="N7" s="11" t="n">
        <f aca="false">SUM(B7:M7)</f>
        <v>21</v>
      </c>
      <c r="O7" s="11" t="n">
        <f aca="false">ROUNDDOWN((N7-10)/2,0)</f>
        <v>5</v>
      </c>
      <c r="P7" s="12" t="n">
        <v>21</v>
      </c>
      <c r="Q7" s="11" t="str">
        <f aca="false">IF(N7=P7,"OK","MISMATCH")</f>
        <v>OK</v>
      </c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customFormat="false" ht="191.25" hidden="false" customHeight="true" outlineLevel="0" collapsed="false">
      <c r="A9" s="13" t="s">
        <v>900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9" min="2" style="1" width="11"/>
    <col collapsed="false" customWidth="true" hidden="false" outlineLevel="0" max="10" min="10" style="1" width="9"/>
    <col collapsed="false" customWidth="true" hidden="false" outlineLevel="0" max="11" min="11" style="1" width="11"/>
    <col collapsed="false" customWidth="true" hidden="false" outlineLevel="0" max="12" min="12" style="1" width="60"/>
  </cols>
  <sheetData>
    <row r="1" customFormat="false" ht="15" hidden="false" customHeight="true" outlineLevel="0" collapsed="false">
      <c r="A1" s="6" t="s">
        <v>901</v>
      </c>
      <c r="B1" s="6" t="s">
        <v>902</v>
      </c>
      <c r="C1" s="6" t="s">
        <v>903</v>
      </c>
      <c r="D1" s="6" t="s">
        <v>904</v>
      </c>
      <c r="E1" s="6" t="s">
        <v>905</v>
      </c>
      <c r="F1" s="6" t="s">
        <v>906</v>
      </c>
      <c r="G1" s="6" t="s">
        <v>907</v>
      </c>
      <c r="H1" s="6" t="s">
        <v>908</v>
      </c>
      <c r="I1" s="6" t="s">
        <v>909</v>
      </c>
      <c r="J1" s="6" t="s">
        <v>910</v>
      </c>
      <c r="K1" s="6" t="s">
        <v>893</v>
      </c>
      <c r="L1" s="6" t="s">
        <v>911</v>
      </c>
    </row>
    <row r="2" customFormat="false" ht="15" hidden="false" customHeight="true" outlineLevel="0" collapsed="false">
      <c r="A2" s="14" t="s">
        <v>912</v>
      </c>
      <c r="B2" s="15" t="n">
        <v>20</v>
      </c>
      <c r="C2" s="15" t="n">
        <v>3</v>
      </c>
      <c r="D2" s="15" t="n">
        <v>1</v>
      </c>
      <c r="E2" s="15" t="n">
        <v>5</v>
      </c>
      <c r="F2" s="15" t="n">
        <v>7</v>
      </c>
      <c r="G2" s="15" t="n">
        <v>20</v>
      </c>
      <c r="H2" s="15" t="n">
        <v>3</v>
      </c>
      <c r="I2" s="14" t="n">
        <f aca="false">SUM(B2:H2)</f>
        <v>59</v>
      </c>
      <c r="J2" s="15" t="n">
        <v>59</v>
      </c>
      <c r="K2" s="14" t="str">
        <f aca="false">IF(I2=J2,"OK","MISMATCH")</f>
        <v>OK</v>
      </c>
      <c r="L2" s="14" t="s">
        <v>913</v>
      </c>
    </row>
    <row r="3" customFormat="false" ht="15" hidden="false" customHeight="true" outlineLevel="0" collapsed="false">
      <c r="A3" s="14" t="s">
        <v>914</v>
      </c>
      <c r="B3" s="15" t="n">
        <v>20</v>
      </c>
      <c r="C3" s="15" t="n">
        <v>1.5</v>
      </c>
      <c r="D3" s="15" t="n">
        <v>0.5</v>
      </c>
      <c r="E3" s="15" t="n">
        <v>2.5</v>
      </c>
      <c r="F3" s="15" t="n">
        <v>3.5</v>
      </c>
      <c r="G3" s="15" t="n">
        <v>10</v>
      </c>
      <c r="H3" s="15" t="n">
        <v>1.5</v>
      </c>
      <c r="I3" s="14" t="n">
        <f aca="false">ROUNDDOWN(SUM(B3:H3),0)</f>
        <v>39</v>
      </c>
      <c r="J3" s="15" t="n">
        <v>39</v>
      </c>
      <c r="K3" s="14" t="str">
        <f aca="false">IF(I3=J3,"OK","MISMATCH")</f>
        <v>OK</v>
      </c>
      <c r="L3" s="14" t="s">
        <v>915</v>
      </c>
    </row>
    <row r="4" customFormat="false" ht="15" hidden="false" customHeight="true" outlineLevel="0" collapsed="false">
      <c r="A4" s="14" t="s">
        <v>916</v>
      </c>
      <c r="B4" s="14" t="n">
        <f aca="false">I2</f>
        <v>59</v>
      </c>
      <c r="C4" s="15" t="n">
        <v>20</v>
      </c>
      <c r="D4" s="15" t="n">
        <v>0.75</v>
      </c>
      <c r="E4" s="15"/>
      <c r="F4" s="15"/>
      <c r="G4" s="15"/>
      <c r="H4" s="15"/>
      <c r="I4" s="14" t="n">
        <f aca="false">C4+ROUNDDOWN(D4*(B4-20),0)</f>
        <v>49</v>
      </c>
      <c r="J4" s="15" t="n">
        <v>49</v>
      </c>
      <c r="K4" s="14" t="str">
        <f aca="false">IF(I4=J4,"OK","MISMATCH")</f>
        <v>OK</v>
      </c>
      <c r="L4" s="14" t="s">
        <v>917</v>
      </c>
    </row>
    <row r="5" customFormat="false" ht="15" hidden="false" customHeight="true" outlineLevel="0" collapsed="false">
      <c r="A5" s="14" t="s">
        <v>918</v>
      </c>
      <c r="B5" s="15" t="n">
        <v>6</v>
      </c>
      <c r="C5" s="15" t="n">
        <v>1.5</v>
      </c>
      <c r="D5" s="15" t="n">
        <v>0.5</v>
      </c>
      <c r="E5" s="15" t="n">
        <v>2.5</v>
      </c>
      <c r="F5" s="15" t="n">
        <v>3.5</v>
      </c>
      <c r="G5" s="15" t="n">
        <v>10</v>
      </c>
      <c r="H5" s="16" t="n">
        <f aca="false">1.5+3.5</f>
        <v>5</v>
      </c>
      <c r="I5" s="14" t="n">
        <f aca="false">ROUNDDOWN(SUM(B5:H5),0)</f>
        <v>29</v>
      </c>
      <c r="J5" s="15" t="n">
        <v>29</v>
      </c>
      <c r="K5" s="14" t="str">
        <f aca="false">IF(I5=J5,"OK","MISMATCH")</f>
        <v>OK</v>
      </c>
      <c r="L5" s="14" t="s">
        <v>919</v>
      </c>
    </row>
    <row r="6" customFormat="false" ht="15" hidden="false" customHeight="true" outlineLevel="0" collapsed="false">
      <c r="A6" s="14" t="s">
        <v>920</v>
      </c>
      <c r="B6" s="15" t="n">
        <v>12</v>
      </c>
      <c r="C6" s="15" t="n">
        <v>1.5</v>
      </c>
      <c r="D6" s="15" t="n">
        <v>0.5</v>
      </c>
      <c r="E6" s="15" t="n">
        <v>2.5</v>
      </c>
      <c r="F6" s="15" t="n">
        <v>3.5</v>
      </c>
      <c r="G6" s="15" t="n">
        <v>10</v>
      </c>
      <c r="H6" s="16" t="n">
        <f aca="false">1.5+3.5</f>
        <v>5</v>
      </c>
      <c r="I6" s="14" t="n">
        <f aca="false">ROUNDDOWN(SUM(B6:H6),0)</f>
        <v>35</v>
      </c>
      <c r="J6" s="15" t="n">
        <v>35</v>
      </c>
      <c r="K6" s="14" t="str">
        <f aca="false">IF(I6=J6,"OK","MISMATCH")</f>
        <v>OK</v>
      </c>
      <c r="L6" s="14" t="s">
        <v>919</v>
      </c>
    </row>
    <row r="7" customFormat="false" ht="15" hidden="false" customHeight="true" outlineLevel="0" collapsed="false">
      <c r="A7" s="14" t="s">
        <v>921</v>
      </c>
      <c r="B7" s="15" t="n">
        <v>6</v>
      </c>
      <c r="C7" s="15" t="n">
        <v>1.5</v>
      </c>
      <c r="D7" s="15" t="n">
        <v>0.5</v>
      </c>
      <c r="E7" s="15" t="n">
        <v>2.5</v>
      </c>
      <c r="F7" s="15" t="n">
        <v>3.5</v>
      </c>
      <c r="G7" s="15" t="n">
        <v>10</v>
      </c>
      <c r="H7" s="16" t="n">
        <f aca="false">1.5+3.5</f>
        <v>5</v>
      </c>
      <c r="I7" s="14" t="n">
        <f aca="false">ROUNDDOWN(SUM(B7:H7),0)</f>
        <v>29</v>
      </c>
      <c r="J7" s="15" t="n">
        <v>29</v>
      </c>
      <c r="K7" s="14" t="str">
        <f aca="false">IF(I7=J7,"OK","MISMATCH")</f>
        <v>OK</v>
      </c>
      <c r="L7" s="14" t="s">
        <v>919</v>
      </c>
    </row>
    <row r="8" customFormat="false" ht="15" hidden="false" customHeight="true" outlineLevel="0" collapsed="false">
      <c r="A8" s="14" t="s">
        <v>922</v>
      </c>
      <c r="B8" s="14" t="n">
        <f aca="false">I5</f>
        <v>29</v>
      </c>
      <c r="C8" s="14" t="n">
        <f aca="false">'Danalieth abilities'!O3</f>
        <v>13</v>
      </c>
      <c r="D8" s="14" t="n">
        <f aca="false">'Danalieth abilities'!O5</f>
        <v>27</v>
      </c>
      <c r="E8" s="15" t="n">
        <v>12</v>
      </c>
      <c r="F8" s="15"/>
      <c r="G8" s="15"/>
      <c r="H8" s="15"/>
      <c r="I8" s="14" t="n">
        <f aca="false">SUM(B8:E8)</f>
        <v>81</v>
      </c>
      <c r="J8" s="15" t="n">
        <v>81</v>
      </c>
      <c r="K8" s="14" t="str">
        <f aca="false">IF(I8=J8,"OK","MISMATCH")</f>
        <v>OK</v>
      </c>
      <c r="L8" s="14" t="s">
        <v>923</v>
      </c>
    </row>
    <row r="9" customFormat="false" ht="15" hidden="false" customHeight="true" outlineLevel="0" collapsed="false">
      <c r="A9" s="14" t="s">
        <v>924</v>
      </c>
      <c r="B9" s="14" t="n">
        <f aca="false">I6</f>
        <v>35</v>
      </c>
      <c r="C9" s="14" t="n">
        <f aca="false">'Danalieth abilities'!O4</f>
        <v>37</v>
      </c>
      <c r="D9" s="15" t="n">
        <v>12</v>
      </c>
      <c r="E9" s="15"/>
      <c r="F9" s="15"/>
      <c r="G9" s="15"/>
      <c r="H9" s="15"/>
      <c r="I9" s="14" t="n">
        <f aca="false">SUM(B9:D9)</f>
        <v>84</v>
      </c>
      <c r="J9" s="15" t="n">
        <v>84</v>
      </c>
      <c r="K9" s="14" t="str">
        <f aca="false">IF(I9=J9,"OK","MISMATCH")</f>
        <v>OK</v>
      </c>
      <c r="L9" s="14" t="s">
        <v>925</v>
      </c>
    </row>
    <row r="10" customFormat="false" ht="15" hidden="false" customHeight="true" outlineLevel="0" collapsed="false">
      <c r="A10" s="14" t="s">
        <v>926</v>
      </c>
      <c r="B10" s="14" t="n">
        <f aca="false">I7</f>
        <v>29</v>
      </c>
      <c r="C10" s="14" t="n">
        <f aca="false">'Danalieth abilities'!O6</f>
        <v>3</v>
      </c>
      <c r="D10" s="15" t="n">
        <v>12</v>
      </c>
      <c r="E10" s="15"/>
      <c r="F10" s="15"/>
      <c r="G10" s="15"/>
      <c r="H10" s="15"/>
      <c r="I10" s="14" t="n">
        <f aca="false">SUM(B10:D10)</f>
        <v>44</v>
      </c>
      <c r="J10" s="15" t="n">
        <v>44</v>
      </c>
      <c r="K10" s="14" t="str">
        <f aca="false">IF(I10=J10,"OK","MISMATCH")</f>
        <v>OK</v>
      </c>
      <c r="L10" s="14" t="s">
        <v>927</v>
      </c>
    </row>
    <row r="11" customFormat="false" ht="15" hidden="false" customHeight="true" outlineLevel="0" collapsed="false">
      <c r="A11" s="14" t="s">
        <v>928</v>
      </c>
      <c r="B11" s="15" t="n">
        <v>180</v>
      </c>
      <c r="C11" s="15" t="n">
        <v>9</v>
      </c>
      <c r="D11" s="15" t="n">
        <v>3</v>
      </c>
      <c r="E11" s="15" t="n">
        <v>15</v>
      </c>
      <c r="F11" s="15" t="n">
        <v>21</v>
      </c>
      <c r="G11" s="15" t="n">
        <v>60</v>
      </c>
      <c r="H11" s="15" t="n">
        <v>9</v>
      </c>
      <c r="I11" s="14" t="n">
        <f aca="false">SUM(B11:H11)</f>
        <v>297</v>
      </c>
      <c r="J11" s="15" t="n">
        <v>297</v>
      </c>
      <c r="K11" s="14" t="str">
        <f aca="false">IF(I11=J11,"OK","MISMATCH")</f>
        <v>OK</v>
      </c>
      <c r="L11" s="14" t="s">
        <v>929</v>
      </c>
    </row>
    <row r="12" customFormat="false" ht="15" hidden="false" customHeight="true" outlineLevel="0" collapsed="false">
      <c r="A12" s="14" t="s">
        <v>930</v>
      </c>
      <c r="B12" s="14" t="n">
        <f aca="false">I11</f>
        <v>297</v>
      </c>
      <c r="C12" s="14" t="n">
        <f aca="false">'Danalieth abilities'!O4</f>
        <v>37</v>
      </c>
      <c r="D12" s="14" t="n">
        <f aca="false">I2</f>
        <v>59</v>
      </c>
      <c r="E12" s="15"/>
      <c r="F12" s="15"/>
      <c r="G12" s="15"/>
      <c r="H12" s="15"/>
      <c r="I12" s="14" t="n">
        <f aca="false">B12+C12*D12</f>
        <v>2480</v>
      </c>
      <c r="J12" s="15" t="n">
        <v>2480</v>
      </c>
      <c r="K12" s="14" t="str">
        <f aca="false">IF(I12=J12,"OK","MISMATCH")</f>
        <v>OK</v>
      </c>
      <c r="L12" s="14" t="s">
        <v>931</v>
      </c>
    </row>
    <row r="13" customFormat="false" ht="15" hidden="false" customHeight="true" outlineLevel="0" collapsed="false">
      <c r="A13" s="14" t="s">
        <v>932</v>
      </c>
      <c r="B13" s="14" t="n">
        <f aca="false">I4</f>
        <v>49</v>
      </c>
      <c r="C13" s="15" t="n">
        <v>24</v>
      </c>
      <c r="D13" s="15" t="n">
        <v>12</v>
      </c>
      <c r="E13" s="15" t="n">
        <v>10</v>
      </c>
      <c r="F13" s="14" t="n">
        <f aca="false">'Danalieth abilities'!O2</f>
        <v>50</v>
      </c>
      <c r="G13" s="15"/>
      <c r="H13" s="15"/>
      <c r="I13" s="14" t="n">
        <f aca="false">SUM(B13:F13)</f>
        <v>145</v>
      </c>
      <c r="J13" s="15" t="n">
        <v>145</v>
      </c>
      <c r="K13" s="14" t="str">
        <f aca="false">IF(I13=J13,"OK","MISMATCH")</f>
        <v>OK</v>
      </c>
      <c r="L13" s="14" t="s">
        <v>933</v>
      </c>
    </row>
    <row r="14" customFormat="false" ht="15" hidden="false" customHeight="true" outlineLevel="0" collapsed="false">
      <c r="A14" s="14" t="s">
        <v>934</v>
      </c>
      <c r="B14" s="16" t="n">
        <f aca="false">ROUNDDOWN(3*3.5,0)</f>
        <v>10</v>
      </c>
      <c r="C14" s="15" t="n">
        <v>12</v>
      </c>
      <c r="D14" s="14" t="n">
        <f aca="false">ROUNDDOWN('Danalieth abilities'!O2*1.5,0)</f>
        <v>75</v>
      </c>
      <c r="E14" s="15" t="n">
        <v>24</v>
      </c>
      <c r="F14" s="14" t="n">
        <f aca="false">'Danalieth abilities'!O5</f>
        <v>27</v>
      </c>
      <c r="G14" s="15"/>
      <c r="H14" s="15"/>
      <c r="I14" s="14" t="n">
        <f aca="false">SUM(B14:F14)</f>
        <v>148</v>
      </c>
      <c r="J14" s="15" t="n">
        <v>148</v>
      </c>
      <c r="K14" s="14" t="str">
        <f aca="false">IF(I14=J14,"OK","MISMATCH")</f>
        <v>OK</v>
      </c>
      <c r="L14" s="14" t="s">
        <v>935</v>
      </c>
    </row>
    <row r="15" customFormat="false" ht="15" hidden="false" customHeight="true" outlineLevel="0" collapsed="false">
      <c r="A15" s="14" t="s">
        <v>936</v>
      </c>
      <c r="B15" s="15" t="n">
        <v>12</v>
      </c>
      <c r="C15" s="15" t="n">
        <v>60</v>
      </c>
      <c r="D15" s="15"/>
      <c r="E15" s="15"/>
      <c r="F15" s="15"/>
      <c r="G15" s="15"/>
      <c r="H15" s="15"/>
      <c r="I15" s="14" t="n">
        <f aca="false">B15+C15</f>
        <v>72</v>
      </c>
      <c r="J15" s="15" t="n">
        <v>72</v>
      </c>
      <c r="K15" s="14" t="str">
        <f aca="false">IF(I15=J15,"OK","MISMATCH")</f>
        <v>OK</v>
      </c>
      <c r="L15" s="14" t="s">
        <v>937</v>
      </c>
    </row>
    <row r="16" customFormat="false" ht="15" hidden="false" customHeight="true" outlineLevel="0" collapsed="false">
      <c r="A16" s="14" t="s">
        <v>938</v>
      </c>
      <c r="B16" s="15" t="n">
        <v>1718250</v>
      </c>
      <c r="C16" s="15"/>
      <c r="D16" s="15"/>
      <c r="E16" s="15"/>
      <c r="F16" s="15"/>
      <c r="G16" s="15"/>
      <c r="H16" s="15"/>
      <c r="I16" s="14" t="n">
        <f aca="false">ROUNDDOWN((1+SQRT(1+8*B16/1000))/2,0)</f>
        <v>59</v>
      </c>
      <c r="J16" s="15" t="n">
        <v>59</v>
      </c>
      <c r="K16" s="14" t="str">
        <f aca="false">IF(I16=J16,"OK","MISMATCH")</f>
        <v>OK</v>
      </c>
      <c r="L16" s="14" t="s">
        <v>939</v>
      </c>
    </row>
    <row r="18" customFormat="false" ht="15" hidden="false" customHeight="true" outlineLevel="0" collapsed="false">
      <c r="A18" s="17" t="s">
        <v>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2026-10-14T19:05:24Z</dcterms:created>
  <dc:creator>openpyxl</dc:creator>
  <dc:description/>
  <dc:language>en-US</dc:language>
  <cp:lastModifiedBy/>
  <dcterms:modified xsi:type="dcterms:W3CDTF">2026-10-15T08:53:20Z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